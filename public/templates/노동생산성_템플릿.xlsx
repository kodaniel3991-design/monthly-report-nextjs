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5DDC3442-1697-4961-84B3-81594F69814D}" xr6:coauthVersionLast="47" xr6:coauthVersionMax="47" xr10:uidLastSave="{00000000-0000-0000-0000-000000000000}"/>
  <bookViews>
    <workbookView xWindow="38280" yWindow="-120" windowWidth="29040" windowHeight="15720" activeTab="3" xr2:uid="{00000000-000D-0000-FFFF-FFFF00000000}"/>
  </bookViews>
  <sheets>
    <sheet name="노동2603실적(총괄)" sheetId="271" r:id="rId1"/>
    <sheet name="노동2603실적(사업부별)" sheetId="270" r:id="rId2"/>
    <sheet name="노무비(25-05)" sheetId="272" r:id="rId3"/>
    <sheet name="노무비(인원,근무시간 등(25_01)" sheetId="274" r:id="rId4"/>
  </sheets>
  <definedNames>
    <definedName name="_xlnm.Print_Area" localSheetId="1">'노동2603실적(사업부별)'!$A$3:$K$52</definedName>
    <definedName name="_xlnm.Print_Area" localSheetId="0">'노동2603실적(총괄)'!$A$3:$K$52</definedName>
    <definedName name="_xlnm.Print_Area" localSheetId="2">'노무비(25-05)'!$A$1:$K$36</definedName>
    <definedName name="_xlnm.Print_Area" localSheetId="3">'노무비(인원,근무시간 등(25_01)'!$A$1:$I$25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270" l="1"/>
  <c r="P31" i="270"/>
  <c r="P33" i="270"/>
  <c r="P32" i="270"/>
  <c r="F17" i="274" l="1"/>
  <c r="F16" i="274"/>
  <c r="G16" i="274"/>
  <c r="G17" i="274"/>
  <c r="E5" i="274"/>
  <c r="E4" i="274"/>
  <c r="R43" i="271" l="1"/>
  <c r="O31" i="270"/>
  <c r="O33" i="270"/>
  <c r="O32" i="270"/>
  <c r="Y46" i="270"/>
  <c r="X46" i="270"/>
  <c r="W46" i="270"/>
  <c r="V46" i="270"/>
  <c r="U46" i="270"/>
  <c r="T46" i="270"/>
  <c r="S46" i="270"/>
  <c r="R46" i="270"/>
  <c r="Q46" i="270"/>
  <c r="P46" i="270"/>
  <c r="O46" i="270"/>
  <c r="N46" i="270"/>
  <c r="Y42" i="270"/>
  <c r="X42" i="270"/>
  <c r="W42" i="270"/>
  <c r="V42" i="270"/>
  <c r="U42" i="270"/>
  <c r="T42" i="270"/>
  <c r="S42" i="270"/>
  <c r="R42" i="270"/>
  <c r="Q42" i="270"/>
  <c r="P42" i="270"/>
  <c r="O42" i="270"/>
  <c r="N42" i="270"/>
  <c r="C40" i="271"/>
  <c r="E33" i="271" l="1"/>
  <c r="C33" i="271"/>
  <c r="C32" i="271"/>
  <c r="E31" i="271"/>
  <c r="C31" i="271"/>
  <c r="Q31" i="271"/>
  <c r="R31" i="271"/>
  <c r="S31" i="271"/>
  <c r="T31" i="271"/>
  <c r="U31" i="271"/>
  <c r="V31" i="271"/>
  <c r="W31" i="271"/>
  <c r="X31" i="271"/>
  <c r="Y31" i="271"/>
  <c r="Z31" i="271"/>
  <c r="P31" i="271"/>
  <c r="E32" i="271"/>
  <c r="I43" i="270" l="1"/>
  <c r="I26" i="270"/>
  <c r="I14" i="270"/>
  <c r="I12" i="270"/>
  <c r="I11" i="270"/>
  <c r="I9" i="270"/>
  <c r="E20" i="274" l="1"/>
  <c r="F20" i="274" s="1"/>
  <c r="D7" i="274" l="1"/>
  <c r="D2" i="274"/>
  <c r="G33" i="270"/>
  <c r="I10" i="270"/>
  <c r="G32" i="270" l="1"/>
  <c r="T32" i="271" l="1"/>
  <c r="E16" i="274" l="1"/>
  <c r="G31" i="271" l="1"/>
  <c r="E17" i="274"/>
  <c r="C7" i="274"/>
  <c r="F32" i="271" l="1"/>
  <c r="D32" i="271"/>
  <c r="F32" i="270" l="1"/>
  <c r="D32" i="270"/>
  <c r="J22" i="272"/>
  <c r="E22" i="272"/>
  <c r="O25" i="272"/>
  <c r="O26" i="272" s="1"/>
  <c r="O27" i="272" s="1"/>
  <c r="J13" i="272" s="1"/>
  <c r="J28" i="272" s="1"/>
  <c r="M25" i="272"/>
  <c r="M26" i="272" s="1"/>
  <c r="M27" i="272" s="1"/>
  <c r="E13" i="272" s="1"/>
  <c r="E28" i="272" s="1"/>
  <c r="I47" i="270" l="1"/>
  <c r="I41" i="270"/>
  <c r="I40" i="270"/>
  <c r="I39" i="270"/>
  <c r="O38" i="270"/>
  <c r="P38" i="270"/>
  <c r="Q38" i="270"/>
  <c r="R38" i="270"/>
  <c r="S38" i="270"/>
  <c r="T38" i="270"/>
  <c r="U38" i="270"/>
  <c r="V38" i="270"/>
  <c r="W38" i="270"/>
  <c r="X38" i="270"/>
  <c r="Y38" i="270"/>
  <c r="N31" i="270"/>
  <c r="O25" i="270"/>
  <c r="P25" i="270"/>
  <c r="Q25" i="270"/>
  <c r="R25" i="270"/>
  <c r="S25" i="270"/>
  <c r="T25" i="270"/>
  <c r="U25" i="270"/>
  <c r="V25" i="270"/>
  <c r="W25" i="270"/>
  <c r="X25" i="270"/>
  <c r="Y25" i="270"/>
  <c r="N25" i="270"/>
  <c r="Z33" i="271"/>
  <c r="Z32" i="271"/>
  <c r="Y33" i="271" l="1"/>
  <c r="Y32" i="271"/>
  <c r="G6" i="271" l="1"/>
  <c r="G37" i="271" s="1"/>
  <c r="E6" i="271"/>
  <c r="E37" i="271" s="1"/>
  <c r="C6" i="271"/>
  <c r="C37" i="271" s="1"/>
  <c r="X33" i="271"/>
  <c r="X32" i="271"/>
  <c r="W32" i="271" l="1"/>
  <c r="W33" i="271"/>
  <c r="G8" i="270"/>
  <c r="E23" i="274" l="1"/>
  <c r="E22" i="274"/>
  <c r="G23" i="274"/>
  <c r="G22" i="274"/>
  <c r="V32" i="271" l="1"/>
  <c r="G43" i="270"/>
  <c r="I42" i="270"/>
  <c r="U33" i="271"/>
  <c r="U32" i="271"/>
  <c r="F18" i="274" l="1"/>
  <c r="G20" i="274" l="1"/>
  <c r="I20" i="274" s="1"/>
  <c r="E40" i="271" s="1"/>
  <c r="E18" i="274"/>
  <c r="C16" i="274" s="1"/>
  <c r="T7" i="271"/>
  <c r="U7" i="271"/>
  <c r="V7" i="271"/>
  <c r="W7" i="271"/>
  <c r="X7" i="271"/>
  <c r="Y7" i="271"/>
  <c r="Z7" i="271"/>
  <c r="P7" i="271"/>
  <c r="Q7" i="271"/>
  <c r="R7" i="271"/>
  <c r="S7" i="271"/>
  <c r="O7" i="271"/>
  <c r="S32" i="271"/>
  <c r="U13" i="271" l="1"/>
  <c r="U38" i="271"/>
  <c r="Y10" i="271"/>
  <c r="Y38" i="271"/>
  <c r="X10" i="271"/>
  <c r="X38" i="271"/>
  <c r="O13" i="271"/>
  <c r="O38" i="271"/>
  <c r="W25" i="271"/>
  <c r="W38" i="271"/>
  <c r="S13" i="271"/>
  <c r="S38" i="271"/>
  <c r="V25" i="271"/>
  <c r="V38" i="271"/>
  <c r="R25" i="271"/>
  <c r="R38" i="271"/>
  <c r="Q25" i="271"/>
  <c r="Q38" i="271"/>
  <c r="T13" i="271"/>
  <c r="T38" i="271"/>
  <c r="P10" i="271"/>
  <c r="P38" i="271"/>
  <c r="Z10" i="271"/>
  <c r="Z38" i="271"/>
  <c r="C40" i="270"/>
  <c r="C17" i="274"/>
  <c r="E40" i="270" s="1"/>
  <c r="Y13" i="271"/>
  <c r="T25" i="271"/>
  <c r="Z13" i="271"/>
  <c r="W10" i="271"/>
  <c r="P13" i="271"/>
  <c r="V10" i="271"/>
  <c r="Z25" i="271"/>
  <c r="U10" i="271"/>
  <c r="Y25" i="271"/>
  <c r="T10" i="271"/>
  <c r="U25" i="271"/>
  <c r="R13" i="271"/>
  <c r="Q13" i="271"/>
  <c r="S25" i="271"/>
  <c r="W13" i="271"/>
  <c r="S10" i="271"/>
  <c r="R10" i="271"/>
  <c r="X25" i="271"/>
  <c r="P25" i="271"/>
  <c r="V13" i="271"/>
  <c r="Q10" i="271"/>
  <c r="X13" i="271"/>
  <c r="O10" i="271"/>
  <c r="O25" i="271"/>
  <c r="O31" i="271" s="1"/>
  <c r="C2" i="274"/>
  <c r="E6" i="274"/>
  <c r="R47" i="271"/>
  <c r="C18" i="274" l="1"/>
  <c r="I43" i="271" l="1"/>
  <c r="R33" i="271"/>
  <c r="G12" i="270" l="1"/>
  <c r="G14" i="270"/>
  <c r="D5" i="274" l="1"/>
  <c r="E39" i="270" s="1"/>
  <c r="N33" i="270" l="1"/>
  <c r="I33" i="270" s="1"/>
  <c r="N32" i="270"/>
  <c r="I32" i="270" s="1"/>
  <c r="D4" i="274"/>
  <c r="D6" i="274" s="1"/>
  <c r="E11" i="270" s="1"/>
  <c r="C5" i="274"/>
  <c r="C39" i="270" s="1"/>
  <c r="C4" i="274"/>
  <c r="E8" i="272" l="1"/>
  <c r="C41" i="270" s="1"/>
  <c r="K7" i="272"/>
  <c r="C6" i="274"/>
  <c r="C11" i="270" s="1"/>
  <c r="G11" i="270" s="1"/>
  <c r="E24" i="274"/>
  <c r="C23" i="274" s="1"/>
  <c r="J32" i="270" l="1"/>
  <c r="C22" i="274"/>
  <c r="E23" i="270" l="1"/>
  <c r="E16" i="270"/>
  <c r="G26" i="270"/>
  <c r="G26" i="271" s="1"/>
  <c r="C17" i="270"/>
  <c r="C16" i="270"/>
  <c r="G9" i="270"/>
  <c r="G9" i="271" s="1"/>
  <c r="N38" i="270" l="1"/>
  <c r="Y13" i="270"/>
  <c r="X13" i="270"/>
  <c r="W13" i="270"/>
  <c r="V13" i="270"/>
  <c r="U13" i="270"/>
  <c r="T13" i="270"/>
  <c r="S13" i="270"/>
  <c r="R13" i="270"/>
  <c r="Q13" i="270"/>
  <c r="P13" i="270"/>
  <c r="O13" i="270"/>
  <c r="N13" i="270"/>
  <c r="O10" i="270"/>
  <c r="P10" i="270"/>
  <c r="Q10" i="270"/>
  <c r="R10" i="270"/>
  <c r="S10" i="270"/>
  <c r="T10" i="270"/>
  <c r="U10" i="270"/>
  <c r="V10" i="270"/>
  <c r="W10" i="270"/>
  <c r="X10" i="270"/>
  <c r="Y10" i="270"/>
  <c r="N10" i="270"/>
  <c r="C11" i="271" l="1"/>
  <c r="E11" i="271" s="1"/>
  <c r="E14" i="272" l="1"/>
  <c r="C47" i="270" s="1"/>
  <c r="K13" i="272"/>
  <c r="E23" i="272"/>
  <c r="J8" i="272"/>
  <c r="J29" i="272"/>
  <c r="J14" i="272"/>
  <c r="E47" i="270" s="1"/>
  <c r="E29" i="272"/>
  <c r="G47" i="270" l="1"/>
  <c r="K8" i="272"/>
  <c r="K9" i="272" s="1"/>
  <c r="E41" i="270"/>
  <c r="G41" i="270" s="1"/>
  <c r="G41" i="271" s="1"/>
  <c r="K14" i="272"/>
  <c r="J23" i="272"/>
  <c r="K22" i="272"/>
  <c r="K29" i="272"/>
  <c r="K28" i="272"/>
  <c r="K15" i="272" l="1"/>
  <c r="C47" i="271"/>
  <c r="K30" i="272"/>
  <c r="C24" i="274" l="1"/>
  <c r="C41" i="271" s="1"/>
  <c r="P43" i="271" l="1"/>
  <c r="Q43" i="271"/>
  <c r="S43" i="271"/>
  <c r="T43" i="271"/>
  <c r="U43" i="271"/>
  <c r="V43" i="271"/>
  <c r="W43" i="271"/>
  <c r="X43" i="271"/>
  <c r="Y43" i="271"/>
  <c r="Z43" i="271"/>
  <c r="E51" i="271" l="1"/>
  <c r="C51" i="271"/>
  <c r="C50" i="271"/>
  <c r="C48" i="271"/>
  <c r="P47" i="271"/>
  <c r="Q47" i="271"/>
  <c r="S47" i="271"/>
  <c r="T47" i="271"/>
  <c r="U47" i="271"/>
  <c r="V47" i="271"/>
  <c r="W47" i="271"/>
  <c r="X47" i="271"/>
  <c r="Y47" i="271"/>
  <c r="Z47" i="271"/>
  <c r="O47" i="271"/>
  <c r="E47" i="271"/>
  <c r="C44" i="271"/>
  <c r="O43" i="271"/>
  <c r="P41" i="271"/>
  <c r="Q41" i="271"/>
  <c r="R41" i="271"/>
  <c r="S41" i="271"/>
  <c r="T41" i="271"/>
  <c r="U41" i="271"/>
  <c r="V41" i="271"/>
  <c r="W41" i="271"/>
  <c r="X41" i="271"/>
  <c r="Y41" i="271"/>
  <c r="Z41" i="271"/>
  <c r="O41" i="271"/>
  <c r="P40" i="271"/>
  <c r="Q40" i="271"/>
  <c r="R40" i="271"/>
  <c r="S40" i="271"/>
  <c r="T40" i="271"/>
  <c r="U40" i="271"/>
  <c r="V40" i="271"/>
  <c r="W40" i="271"/>
  <c r="X40" i="271"/>
  <c r="Y40" i="271"/>
  <c r="Z40" i="271"/>
  <c r="O40" i="271"/>
  <c r="P39" i="271"/>
  <c r="Q39" i="271"/>
  <c r="R39" i="271"/>
  <c r="S39" i="271"/>
  <c r="T39" i="271"/>
  <c r="U39" i="271"/>
  <c r="V39" i="271"/>
  <c r="W39" i="271"/>
  <c r="X39" i="271"/>
  <c r="Y39" i="271"/>
  <c r="Z39" i="271"/>
  <c r="O39" i="271"/>
  <c r="E29" i="271"/>
  <c r="C29" i="271"/>
  <c r="E25" i="271"/>
  <c r="E24" i="271"/>
  <c r="E28" i="271" s="1"/>
  <c r="C25" i="271"/>
  <c r="C24" i="271"/>
  <c r="C28" i="271" s="1"/>
  <c r="E23" i="271"/>
  <c r="E21" i="271"/>
  <c r="E20" i="271"/>
  <c r="C23" i="271"/>
  <c r="C21" i="271"/>
  <c r="C20" i="271"/>
  <c r="E19" i="271"/>
  <c r="E18" i="271"/>
  <c r="C19" i="271"/>
  <c r="C18" i="271"/>
  <c r="E17" i="271"/>
  <c r="E16" i="271"/>
  <c r="C17" i="271"/>
  <c r="C16" i="271"/>
  <c r="E13" i="271"/>
  <c r="C13" i="271"/>
  <c r="I47" i="271" l="1"/>
  <c r="I40" i="271"/>
  <c r="I42" i="271" s="1"/>
  <c r="I51" i="271"/>
  <c r="I39" i="271"/>
  <c r="I48" i="271" s="1"/>
  <c r="I41" i="271"/>
  <c r="E22" i="271"/>
  <c r="C22" i="271"/>
  <c r="I50" i="271" l="1"/>
  <c r="I44" i="271"/>
  <c r="E51" i="270"/>
  <c r="C51" i="270"/>
  <c r="E50" i="270"/>
  <c r="C50" i="270"/>
  <c r="E48" i="270"/>
  <c r="C48" i="270"/>
  <c r="G47" i="271"/>
  <c r="E45" i="270"/>
  <c r="E52" i="270" s="1"/>
  <c r="C45" i="270"/>
  <c r="E44" i="270"/>
  <c r="C44" i="270"/>
  <c r="I51" i="270"/>
  <c r="I45" i="270"/>
  <c r="G43" i="271" l="1"/>
  <c r="G51" i="271" s="1"/>
  <c r="I52" i="270"/>
  <c r="G51" i="270"/>
  <c r="G45" i="270"/>
  <c r="G52" i="270" s="1"/>
  <c r="C52" i="270"/>
  <c r="G48" i="270"/>
  <c r="G44" i="270"/>
  <c r="G40" i="270" l="1"/>
  <c r="G39" i="270"/>
  <c r="I50" i="270"/>
  <c r="G40" i="271" l="1"/>
  <c r="G42" i="271" s="1"/>
  <c r="G39" i="271"/>
  <c r="E39" i="271" s="1"/>
  <c r="G50" i="270"/>
  <c r="E50" i="271" l="1"/>
  <c r="E48" i="271"/>
  <c r="E44" i="271"/>
  <c r="G50" i="271"/>
  <c r="G48" i="271"/>
  <c r="C23" i="270"/>
  <c r="G23" i="270"/>
  <c r="I46" i="271" l="1"/>
  <c r="I45" i="271"/>
  <c r="G46" i="271"/>
  <c r="G45" i="271"/>
  <c r="E46" i="271"/>
  <c r="C46" i="271"/>
  <c r="C45" i="271"/>
  <c r="C49" i="271" s="1"/>
  <c r="C52" i="271" s="1"/>
  <c r="C42" i="271"/>
  <c r="T33" i="271"/>
  <c r="V33" i="271"/>
  <c r="P32" i="271"/>
  <c r="Q32" i="271"/>
  <c r="R32" i="271"/>
  <c r="I49" i="271" l="1"/>
  <c r="I52" i="271"/>
  <c r="G52" i="271"/>
  <c r="G49" i="271"/>
  <c r="E27" i="271" l="1"/>
  <c r="C27" i="271"/>
  <c r="O26" i="271"/>
  <c r="P26" i="271"/>
  <c r="Q26" i="271"/>
  <c r="R26" i="271"/>
  <c r="S26" i="271"/>
  <c r="T26" i="271"/>
  <c r="U26" i="271"/>
  <c r="V26" i="271"/>
  <c r="W26" i="271"/>
  <c r="X26" i="271"/>
  <c r="Y26" i="271"/>
  <c r="Z26" i="271"/>
  <c r="E15" i="271"/>
  <c r="C15" i="271"/>
  <c r="E10" i="271"/>
  <c r="C10" i="271"/>
  <c r="P14" i="271"/>
  <c r="Q14" i="271"/>
  <c r="R14" i="271"/>
  <c r="S14" i="271"/>
  <c r="T14" i="271"/>
  <c r="U14" i="271"/>
  <c r="V14" i="271"/>
  <c r="W14" i="271"/>
  <c r="X14" i="271"/>
  <c r="Y14" i="271"/>
  <c r="Z14" i="271"/>
  <c r="O14" i="271"/>
  <c r="P12" i="271"/>
  <c r="Q12" i="271"/>
  <c r="R12" i="271"/>
  <c r="S12" i="271"/>
  <c r="T12" i="271"/>
  <c r="U12" i="271"/>
  <c r="V12" i="271"/>
  <c r="W12" i="271"/>
  <c r="X12" i="271"/>
  <c r="Y12" i="271"/>
  <c r="Z12" i="271"/>
  <c r="P11" i="271"/>
  <c r="Q11" i="271"/>
  <c r="R11" i="271"/>
  <c r="S11" i="271"/>
  <c r="T11" i="271"/>
  <c r="U11" i="271"/>
  <c r="V11" i="271"/>
  <c r="W11" i="271"/>
  <c r="X11" i="271"/>
  <c r="Y11" i="271"/>
  <c r="Z11" i="271"/>
  <c r="O11" i="271"/>
  <c r="P9" i="271"/>
  <c r="Q9" i="271"/>
  <c r="R9" i="271"/>
  <c r="S9" i="271"/>
  <c r="T9" i="271"/>
  <c r="U9" i="271"/>
  <c r="V9" i="271"/>
  <c r="W9" i="271"/>
  <c r="X9" i="271"/>
  <c r="Y9" i="271"/>
  <c r="Z9" i="271"/>
  <c r="O9" i="271"/>
  <c r="P8" i="271"/>
  <c r="Q8" i="271"/>
  <c r="R8" i="271"/>
  <c r="S8" i="271"/>
  <c r="T8" i="271"/>
  <c r="U8" i="271"/>
  <c r="V8" i="271"/>
  <c r="W8" i="271"/>
  <c r="X8" i="271"/>
  <c r="Y8" i="271"/>
  <c r="Z8" i="271"/>
  <c r="I11" i="271" l="1"/>
  <c r="G33" i="271" s="1"/>
  <c r="I9" i="271"/>
  <c r="I21" i="271" s="1"/>
  <c r="I14" i="271"/>
  <c r="I20" i="271" s="1"/>
  <c r="K23" i="272"/>
  <c r="I26" i="271"/>
  <c r="K24" i="272" l="1"/>
  <c r="E41" i="271"/>
  <c r="E45" i="271" s="1"/>
  <c r="E49" i="271" s="1"/>
  <c r="E52" i="271" s="1"/>
  <c r="I25" i="271"/>
  <c r="I29" i="271"/>
  <c r="I27" i="271"/>
  <c r="I23" i="271"/>
  <c r="I19" i="271"/>
  <c r="I48" i="270"/>
  <c r="I46" i="270"/>
  <c r="E46" i="270"/>
  <c r="E49" i="270"/>
  <c r="C46" i="270"/>
  <c r="C49" i="270"/>
  <c r="I44" i="270"/>
  <c r="E42" i="270"/>
  <c r="C42" i="270"/>
  <c r="E29" i="270"/>
  <c r="E27" i="270"/>
  <c r="F26" i="270" s="1"/>
  <c r="C29" i="270"/>
  <c r="C27" i="270"/>
  <c r="D26" i="270" s="1"/>
  <c r="G25" i="270"/>
  <c r="E25" i="270"/>
  <c r="C25" i="270"/>
  <c r="E21" i="270"/>
  <c r="E20" i="270"/>
  <c r="C21" i="270"/>
  <c r="C20" i="270"/>
  <c r="E19" i="270"/>
  <c r="C19" i="270"/>
  <c r="I20" i="270"/>
  <c r="G11" i="271"/>
  <c r="G27" i="271" l="1"/>
  <c r="G29" i="271"/>
  <c r="G25" i="271"/>
  <c r="I19" i="270"/>
  <c r="I23" i="270"/>
  <c r="G21" i="271"/>
  <c r="G19" i="271"/>
  <c r="G23" i="271"/>
  <c r="I49" i="270"/>
  <c r="I25" i="270"/>
  <c r="I29" i="270"/>
  <c r="I27" i="270"/>
  <c r="G27" i="270"/>
  <c r="O33" i="271"/>
  <c r="P33" i="271"/>
  <c r="Q33" i="271"/>
  <c r="G29" i="270"/>
  <c r="S33" i="271"/>
  <c r="I21" i="270"/>
  <c r="G19" i="270"/>
  <c r="G21" i="270"/>
  <c r="J41" i="271"/>
  <c r="H47" i="271"/>
  <c r="D47" i="271"/>
  <c r="F47" i="271"/>
  <c r="D45" i="271"/>
  <c r="G44" i="271"/>
  <c r="H43" i="271" s="1"/>
  <c r="D43" i="271"/>
  <c r="F43" i="271"/>
  <c r="H41" i="271"/>
  <c r="E42" i="271"/>
  <c r="F41" i="271" s="1"/>
  <c r="D26" i="271"/>
  <c r="D16" i="271"/>
  <c r="F12" i="271"/>
  <c r="F24" i="271"/>
  <c r="D10" i="271"/>
  <c r="D8" i="271"/>
  <c r="D12" i="271"/>
  <c r="F47" i="270"/>
  <c r="D47" i="270"/>
  <c r="D43" i="270"/>
  <c r="G42" i="270"/>
  <c r="G37" i="270"/>
  <c r="E37" i="270"/>
  <c r="C37" i="270"/>
  <c r="D20" i="270"/>
  <c r="I33" i="271" l="1"/>
  <c r="F18" i="271"/>
  <c r="D18" i="271"/>
  <c r="G14" i="271"/>
  <c r="G20" i="270"/>
  <c r="G46" i="270"/>
  <c r="D28" i="271"/>
  <c r="F20" i="271"/>
  <c r="F16" i="271"/>
  <c r="H26" i="271"/>
  <c r="J51" i="270"/>
  <c r="F41" i="270"/>
  <c r="H41" i="270"/>
  <c r="J47" i="271"/>
  <c r="J26" i="271"/>
  <c r="H43" i="270"/>
  <c r="J47" i="270"/>
  <c r="D45" i="270"/>
  <c r="D41" i="270"/>
  <c r="F43" i="270"/>
  <c r="J45" i="270"/>
  <c r="D14" i="271"/>
  <c r="D22" i="271"/>
  <c r="H51" i="271"/>
  <c r="H45" i="271"/>
  <c r="H49" i="271"/>
  <c r="J51" i="271"/>
  <c r="F14" i="271"/>
  <c r="F10" i="271"/>
  <c r="F28" i="271"/>
  <c r="F51" i="271"/>
  <c r="F49" i="271"/>
  <c r="F22" i="271"/>
  <c r="F26" i="271"/>
  <c r="D24" i="271"/>
  <c r="D41" i="271"/>
  <c r="F45" i="271"/>
  <c r="J45" i="271"/>
  <c r="F8" i="271"/>
  <c r="D20" i="271"/>
  <c r="J49" i="271"/>
  <c r="J43" i="271"/>
  <c r="J43" i="270"/>
  <c r="J20" i="270"/>
  <c r="J41" i="270"/>
  <c r="F20" i="270"/>
  <c r="H26" i="270"/>
  <c r="G20" i="271" l="1"/>
  <c r="H20" i="271" s="1"/>
  <c r="D49" i="270"/>
  <c r="D51" i="270"/>
  <c r="H20" i="270"/>
  <c r="D51" i="271"/>
  <c r="D49" i="271"/>
  <c r="J20" i="271"/>
  <c r="F49" i="270"/>
  <c r="F45" i="270"/>
  <c r="F51" i="270"/>
  <c r="H47" i="270"/>
  <c r="J49" i="270"/>
  <c r="J26" i="270"/>
  <c r="G49" i="270" l="1"/>
  <c r="H45" i="270"/>
  <c r="H49" i="270" l="1"/>
  <c r="H51" i="270"/>
  <c r="C15" i="270" l="1"/>
  <c r="D14" i="270" s="1"/>
  <c r="C13" i="270"/>
  <c r="D12" i="270" s="1"/>
  <c r="C10" i="270"/>
  <c r="D10" i="270" s="1"/>
  <c r="D8" i="270"/>
  <c r="E13" i="270"/>
  <c r="F12" i="270" s="1"/>
  <c r="E10" i="270"/>
  <c r="F10" i="270" s="1"/>
  <c r="E17" i="270"/>
  <c r="E15" i="270"/>
  <c r="F14" i="270" s="1"/>
  <c r="F8" i="270"/>
  <c r="O8" i="271"/>
  <c r="G13" i="270"/>
  <c r="G8" i="271"/>
  <c r="G10" i="271" s="1"/>
  <c r="H10" i="271" s="1"/>
  <c r="I8" i="271" l="1"/>
  <c r="G32" i="271" s="1"/>
  <c r="I17" i="270"/>
  <c r="G17" i="271"/>
  <c r="G10" i="270"/>
  <c r="H10" i="270" s="1"/>
  <c r="I15" i="270"/>
  <c r="J14" i="270" s="1"/>
  <c r="G15" i="271"/>
  <c r="H14" i="271" s="1"/>
  <c r="G13" i="271"/>
  <c r="H8" i="270"/>
  <c r="H8" i="271"/>
  <c r="G17" i="270"/>
  <c r="G15" i="270"/>
  <c r="H14" i="270" s="1"/>
  <c r="J10" i="270" l="1"/>
  <c r="H32" i="270"/>
  <c r="I13" i="270"/>
  <c r="J8" i="270"/>
  <c r="O32" i="271"/>
  <c r="I32" i="271" s="1"/>
  <c r="I10" i="271"/>
  <c r="J10" i="271" s="1"/>
  <c r="H32" i="271"/>
  <c r="J8" i="271"/>
  <c r="I15" i="271"/>
  <c r="J14" i="271" s="1"/>
  <c r="I17" i="271"/>
  <c r="I13" i="271"/>
  <c r="J32" i="271" l="1"/>
  <c r="D16" i="270"/>
  <c r="C18" i="270"/>
  <c r="C22" i="270" s="1"/>
  <c r="D22" i="270" s="1"/>
  <c r="C24" i="270"/>
  <c r="C28" i="270" s="1"/>
  <c r="D28" i="270" s="1"/>
  <c r="D18" i="270" l="1"/>
  <c r="D24" i="270"/>
  <c r="F16" i="270"/>
  <c r="E18" i="270"/>
  <c r="E24" i="270"/>
  <c r="E28" i="270" s="1"/>
  <c r="F28" i="270" s="1"/>
  <c r="G16" i="270"/>
  <c r="H16" i="270" s="1"/>
  <c r="E22" i="270" l="1"/>
  <c r="F22" i="270" s="1"/>
  <c r="F18" i="270"/>
  <c r="G12" i="271"/>
  <c r="G24" i="271" s="1"/>
  <c r="G28" i="271" s="1"/>
  <c r="H28" i="271" s="1"/>
  <c r="O12" i="271"/>
  <c r="I12" i="271" s="1"/>
  <c r="I18" i="271" s="1"/>
  <c r="G18" i="270"/>
  <c r="G22" i="270" s="1"/>
  <c r="H22" i="270" s="1"/>
  <c r="J12" i="270"/>
  <c r="I16" i="270"/>
  <c r="J16" i="270" s="1"/>
  <c r="F24" i="270"/>
  <c r="I24" i="270"/>
  <c r="I18" i="270"/>
  <c r="H12" i="270"/>
  <c r="G24" i="270"/>
  <c r="G16" i="271" l="1"/>
  <c r="H16" i="271" s="1"/>
  <c r="H24" i="271"/>
  <c r="H12" i="271"/>
  <c r="H18" i="270"/>
  <c r="G18" i="271"/>
  <c r="G22" i="271" s="1"/>
  <c r="H22" i="271" s="1"/>
  <c r="I28" i="270"/>
  <c r="J28" i="270" s="1"/>
  <c r="J24" i="270"/>
  <c r="H24" i="270"/>
  <c r="G28" i="270"/>
  <c r="H28" i="270" s="1"/>
  <c r="I22" i="270"/>
  <c r="J22" i="270" s="1"/>
  <c r="J18" i="270"/>
  <c r="I24" i="271" l="1"/>
  <c r="I16" i="271"/>
  <c r="J16" i="271" s="1"/>
  <c r="J12" i="271"/>
  <c r="H18" i="271"/>
  <c r="I28" i="271" l="1"/>
  <c r="J28" i="271" s="1"/>
  <c r="J24" i="271"/>
  <c r="I22" i="271"/>
  <c r="J22" i="271" s="1"/>
  <c r="J18" i="2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C39" authorId="0" shapeId="0" xr:uid="{512E208D-664C-46BC-BA6E-3CBEF2C8C5EB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년간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</t>
        </r>
        <r>
          <rPr>
            <b/>
            <sz val="9"/>
            <color indexed="81"/>
            <rFont val="Tahoma"/>
            <family val="2"/>
          </rPr>
          <t>, 2026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사업계획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0" authorId="0" shapeId="0" xr:uid="{B5A53E38-1F7B-40B5-BEBC-266A491D1207}">
      <text>
        <r>
          <rPr>
            <b/>
            <sz val="9"/>
            <color indexed="81"/>
            <rFont val="돋움"/>
            <family val="3"/>
            <charset val="129"/>
          </rPr>
          <t>만든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실작업시간</t>
        </r>
      </text>
    </comment>
    <comment ref="E40" authorId="0" shapeId="0" xr:uid="{AADE5DBA-18D5-42DA-8C98-817E8824D74F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생산인원</t>
        </r>
        <r>
          <rPr>
            <sz val="9"/>
            <color indexed="81"/>
            <rFont val="Tahoma"/>
            <family val="2"/>
          </rPr>
          <t>*8*</t>
        </r>
        <r>
          <rPr>
            <sz val="9"/>
            <color indexed="81"/>
            <rFont val="돋움"/>
            <family val="3"/>
            <charset val="129"/>
          </rPr>
          <t>근무일수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주차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유급포함</t>
        </r>
        <r>
          <rPr>
            <sz val="9"/>
            <color indexed="81"/>
            <rFont val="Tahoma"/>
            <family val="2"/>
          </rPr>
          <t xml:space="preserve">) + </t>
        </r>
        <r>
          <rPr>
            <sz val="9"/>
            <color indexed="81"/>
            <rFont val="돋움"/>
            <family val="3"/>
            <charset val="129"/>
          </rPr>
          <t>총잔업시간</t>
        </r>
      </text>
    </comment>
    <comment ref="G40" authorId="0" shapeId="0" xr:uid="{B602D29A-FCCA-4CE8-9896-735341EFDB78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급여명세표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근로시간</t>
        </r>
      </text>
    </comment>
    <comment ref="C41" authorId="0" shapeId="0" xr:uid="{9046A8BA-D9EF-4952-BA80-E2F76F7171E0}">
      <text>
        <r>
          <rPr>
            <b/>
            <sz val="9"/>
            <color indexed="81"/>
            <rFont val="Tahoma"/>
            <family val="2"/>
          </rPr>
          <t>2p</t>
        </r>
        <r>
          <rPr>
            <b/>
            <sz val="9"/>
            <color indexed="81"/>
            <rFont val="돋움"/>
            <family val="3"/>
            <charset val="129"/>
          </rPr>
          <t xml:space="preserve">수정계획 임금 계를 보고 한다 +급여 명세서 기본급 /2 한 금액
</t>
        </r>
      </text>
    </comment>
    <comment ref="E41" authorId="0" shapeId="0" xr:uid="{4D8294E8-40B2-4B35-8279-FE02981846F1}">
      <text>
        <r>
          <rPr>
            <b/>
            <sz val="9"/>
            <color indexed="81"/>
            <rFont val="돋움"/>
            <family val="3"/>
            <charset val="129"/>
          </rPr>
          <t>만든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1p </t>
        </r>
        <r>
          <rPr>
            <sz val="9"/>
            <color indexed="81"/>
            <rFont val="돋움"/>
            <family val="3"/>
            <charset val="129"/>
          </rPr>
          <t>수정계획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임금</t>
        </r>
        <r>
          <rPr>
            <sz val="9"/>
            <color indexed="81"/>
            <rFont val="Tahoma"/>
            <family val="2"/>
          </rPr>
          <t xml:space="preserve"> + 3p 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계획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MS Gothic"/>
            <family val="3"/>
            <charset val="128"/>
          </rPr>
          <t>⑱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MS Gothic"/>
            <family val="3"/>
            <charset val="128"/>
          </rPr>
          <t>⑲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</text>
    </comment>
    <comment ref="G41" authorId="0" shapeId="0" xr:uid="{95DFA7A6-88C1-40AE-98DB-F52D922978D3}">
      <text>
        <r>
          <rPr>
            <b/>
            <sz val="9"/>
            <color indexed="81"/>
            <rFont val="돋움"/>
            <family val="3"/>
            <charset val="129"/>
          </rPr>
          <t>만든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1p </t>
        </r>
        <r>
          <rPr>
            <sz val="9"/>
            <color indexed="81"/>
            <rFont val="돋움"/>
            <family val="3"/>
            <charset val="129"/>
          </rPr>
          <t>⑬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⑭</t>
        </r>
        <r>
          <rPr>
            <sz val="9"/>
            <color indexed="81"/>
            <rFont val="Tahoma"/>
            <family val="2"/>
          </rPr>
          <t xml:space="preserve"> + 3p </t>
        </r>
        <r>
          <rPr>
            <sz val="9"/>
            <color indexed="81"/>
            <rFont val="돋움"/>
            <family val="3"/>
            <charset val="129"/>
          </rPr>
          <t>⑮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MS Gothic"/>
            <family val="3"/>
            <charset val="128"/>
          </rPr>
          <t>⑯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</text>
    </comment>
    <comment ref="C43" authorId="0" shapeId="0" xr:uid="{440F2DB0-F965-4845-9D63-A56CF879E4EF}">
      <text>
        <r>
          <rPr>
            <b/>
            <sz val="9"/>
            <color indexed="81"/>
            <rFont val="돋움"/>
            <family val="3"/>
            <charset val="129"/>
          </rPr>
          <t>만든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1p  </t>
        </r>
        <r>
          <rPr>
            <sz val="9"/>
            <color indexed="81"/>
            <rFont val="돋움"/>
            <family val="3"/>
            <charset val="129"/>
          </rPr>
          <t>⑩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생산금액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사업계획</t>
        </r>
        <r>
          <rPr>
            <sz val="9"/>
            <color indexed="81"/>
            <rFont val="Tahoma"/>
            <family val="2"/>
          </rPr>
          <t>)</t>
        </r>
      </text>
    </comment>
    <comment ref="E43" authorId="0" shapeId="0" xr:uid="{E9924A44-F657-45D4-B0C1-11B5BAF28E1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1p  </t>
        </r>
        <r>
          <rPr>
            <sz val="9"/>
            <color indexed="81"/>
            <rFont val="돋움"/>
            <family val="3"/>
            <charset val="129"/>
          </rPr>
          <t>⑩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생산금액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수경계획</t>
        </r>
        <r>
          <rPr>
            <sz val="9"/>
            <color indexed="81"/>
            <rFont val="Tahoma"/>
            <family val="2"/>
          </rPr>
          <t>)</t>
        </r>
      </text>
    </comment>
    <comment ref="G43" authorId="0" shapeId="0" xr:uid="{F7C06CD4-411C-4E93-8B4E-AA19F941411C}">
      <text>
        <r>
          <rPr>
            <b/>
            <sz val="9"/>
            <color indexed="81"/>
            <rFont val="돋움"/>
            <family val="3"/>
            <charset val="129"/>
          </rPr>
          <t>만든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1p  </t>
        </r>
        <r>
          <rPr>
            <sz val="9"/>
            <color indexed="81"/>
            <rFont val="돋움"/>
            <family val="3"/>
            <charset val="129"/>
          </rPr>
          <t>⑩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생산금액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실적</t>
        </r>
        <r>
          <rPr>
            <sz val="9"/>
            <color indexed="81"/>
            <rFont val="Tahoma"/>
            <family val="2"/>
          </rPr>
          <t>)</t>
        </r>
      </text>
    </comment>
    <comment ref="C47" authorId="0" shapeId="0" xr:uid="{3BF7A460-0064-4886-8728-8DED91443DA9}">
      <text>
        <r>
          <rPr>
            <b/>
            <sz val="9"/>
            <color indexed="81"/>
            <rFont val="돋움"/>
            <family val="3"/>
            <charset val="129"/>
          </rPr>
          <t>만든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3p  </t>
        </r>
        <r>
          <rPr>
            <sz val="9"/>
            <color indexed="81"/>
            <rFont val="돋움"/>
            <family val="3"/>
            <charset val="129"/>
          </rPr>
          <t>⑪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⑫</t>
        </r>
      </text>
    </comment>
    <comment ref="E47" authorId="0" shapeId="0" xr:uid="{4EA01000-CEFC-4295-93B0-4DA3C5C19911}">
      <text>
        <r>
          <rPr>
            <b/>
            <sz val="9"/>
            <color indexed="81"/>
            <rFont val="돋움"/>
            <family val="3"/>
            <charset val="129"/>
          </rPr>
          <t>만든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3p  </t>
        </r>
        <r>
          <rPr>
            <sz val="9"/>
            <color indexed="81"/>
            <rFont val="돋움"/>
            <family val="3"/>
            <charset val="129"/>
          </rPr>
          <t>⑪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 xml:space="preserve">⑫
</t>
        </r>
      </text>
    </comment>
    <comment ref="G47" authorId="0" shapeId="0" xr:uid="{6DD92528-6E7C-45E7-B6D5-57AF23736BB0}">
      <text>
        <r>
          <rPr>
            <b/>
            <sz val="9"/>
            <color indexed="81"/>
            <rFont val="돋움"/>
            <family val="3"/>
            <charset val="129"/>
          </rPr>
          <t>만든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3p  </t>
        </r>
        <r>
          <rPr>
            <sz val="9"/>
            <color indexed="81"/>
            <rFont val="돋움"/>
            <family val="3"/>
            <charset val="129"/>
          </rPr>
          <t>⑪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⑫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C11" authorId="0" shapeId="0" xr:uid="{2E00E13E-CD96-46CE-9DAB-C53BCA435A16}">
      <text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페이지</t>
        </r>
        <r>
          <rPr>
            <b/>
            <sz val="9"/>
            <color indexed="81"/>
            <rFont val="Tahoma"/>
            <family val="2"/>
          </rPr>
          <t xml:space="preserve"> 00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노무비</t>
        </r>
      </text>
    </comment>
    <comment ref="E11" authorId="0" shapeId="0" xr:uid="{AEC3B7A6-B226-4C33-9BBE-9F9F48B7F787}">
      <text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페이지</t>
        </r>
        <r>
          <rPr>
            <b/>
            <sz val="9"/>
            <color indexed="81"/>
            <rFont val="Tahoma"/>
            <family val="2"/>
          </rPr>
          <t xml:space="preserve"> 00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노무비</t>
        </r>
      </text>
    </comment>
    <comment ref="C31" authorId="0" shapeId="0" xr:uid="{03DE9DC5-8798-4431-9C97-FF4A52485285}">
      <text>
        <r>
          <rPr>
            <b/>
            <sz val="9"/>
            <color indexed="81"/>
            <rFont val="돋움"/>
            <family val="3"/>
            <charset val="129"/>
          </rPr>
          <t xml:space="preserve">전년도 실적 </t>
        </r>
      </text>
    </comment>
    <comment ref="E32" authorId="0" shapeId="0" xr:uid="{E21D6B1E-E777-4818-800E-E3AB8E4E355D}">
      <text>
        <r>
          <rPr>
            <b/>
            <sz val="9"/>
            <color indexed="81"/>
            <rFont val="돋움"/>
            <family val="3"/>
            <charset val="129"/>
          </rPr>
          <t>한계이익+제조경비(복리후생비)</t>
        </r>
      </text>
    </comment>
    <comment ref="C33" authorId="0" shapeId="0" xr:uid="{913F8657-1ED8-413C-A684-F6B5B9EE19EE}">
      <text>
        <r>
          <rPr>
            <b/>
            <sz val="9"/>
            <color indexed="81"/>
            <rFont val="Tahoma"/>
            <family val="2"/>
          </rPr>
          <t>2025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</text>
    </comment>
    <comment ref="E33" authorId="0" shapeId="0" xr:uid="{7A68A1BA-A625-4FD0-ACCF-6E68F43646C1}">
      <text>
        <r>
          <rPr>
            <b/>
            <sz val="9"/>
            <color indexed="81"/>
            <rFont val="Tahoma"/>
            <family val="2"/>
          </rPr>
          <t>2026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사업계획</t>
        </r>
        <r>
          <rPr>
            <b/>
            <sz val="9"/>
            <color indexed="81"/>
            <rFont val="Tahoma"/>
            <family val="2"/>
          </rPr>
          <t>PPT(</t>
        </r>
        <r>
          <rPr>
            <b/>
            <sz val="9"/>
            <color indexed="81"/>
            <rFont val="돋움"/>
            <family val="3"/>
            <charset val="129"/>
          </rPr>
          <t>인원계획</t>
        </r>
        <r>
          <rPr>
            <b/>
            <sz val="9"/>
            <color indexed="81"/>
            <rFont val="Tahoma"/>
            <family val="2"/>
          </rPr>
          <t>) 98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설정</t>
        </r>
      </text>
    </comment>
    <comment ref="C39" authorId="0" shapeId="0" xr:uid="{BD2B75D0-4750-474A-9FE2-80B077EB2EEB}">
      <text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페이지</t>
        </r>
        <r>
          <rPr>
            <b/>
            <sz val="9"/>
            <color indexed="81"/>
            <rFont val="Tahoma"/>
            <family val="2"/>
          </rPr>
          <t xml:space="preserve"> 00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노무비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</text>
    </comment>
    <comment ref="E39" authorId="0" shapeId="0" xr:uid="{1E659C72-B98B-4D10-8079-9843D38FF5ED}">
      <text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페이지</t>
        </r>
        <r>
          <rPr>
            <b/>
            <sz val="9"/>
            <color indexed="81"/>
            <rFont val="Tahoma"/>
            <family val="2"/>
          </rPr>
          <t xml:space="preserve"> 00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노무비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</text>
    </comment>
    <comment ref="C40" authorId="0" shapeId="0" xr:uid="{03348957-9CA1-48AD-921B-603DE228ED92}">
      <text>
        <r>
          <rPr>
            <b/>
            <sz val="9"/>
            <color indexed="81"/>
            <rFont val="돋움"/>
            <family val="3"/>
            <charset val="129"/>
          </rPr>
          <t>만든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4p </t>
        </r>
        <r>
          <rPr>
            <sz val="9"/>
            <color indexed="81"/>
            <rFont val="돋움"/>
            <family val="3"/>
            <charset val="129"/>
          </rPr>
          <t>근무시간</t>
        </r>
      </text>
    </comment>
    <comment ref="E40" authorId="0" shapeId="0" xr:uid="{5AB7FAB8-F919-47F5-96B6-5D95AFB9552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4p </t>
        </r>
        <r>
          <rPr>
            <sz val="9"/>
            <color indexed="81"/>
            <rFont val="돋움"/>
            <family val="3"/>
            <charset val="129"/>
          </rPr>
          <t>근무시간</t>
        </r>
      </text>
    </comment>
    <comment ref="C41" authorId="0" shapeId="0" xr:uid="{AEB7DADE-875B-4E8C-9C9E-270435B191B7}">
      <text>
        <r>
          <rPr>
            <b/>
            <sz val="9"/>
            <color indexed="81"/>
            <rFont val="돋움"/>
            <family val="3"/>
            <charset val="129"/>
          </rPr>
          <t>만든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1p </t>
        </r>
        <r>
          <rPr>
            <sz val="9"/>
            <color indexed="81"/>
            <rFont val="돋움"/>
            <family val="3"/>
            <charset val="129"/>
          </rPr>
          <t>⑬</t>
        </r>
        <r>
          <rPr>
            <sz val="9"/>
            <color indexed="81"/>
            <rFont val="Tahoma"/>
            <family val="2"/>
          </rPr>
          <t xml:space="preserve"> + 3p </t>
        </r>
        <r>
          <rPr>
            <sz val="9"/>
            <color indexed="81"/>
            <rFont val="돋움"/>
            <family val="3"/>
            <charset val="129"/>
          </rPr>
          <t>⑮</t>
        </r>
      </text>
    </comment>
    <comment ref="E41" authorId="0" shapeId="0" xr:uid="{D4004738-C580-4D99-AF08-5F15840102D9}">
      <text>
        <r>
          <rPr>
            <sz val="10"/>
            <color indexed="81"/>
            <rFont val="맑은 고딕"/>
            <family val="3"/>
            <charset val="129"/>
            <scheme val="minor"/>
          </rPr>
          <t xml:space="preserve">1p ⑭ + 3p </t>
        </r>
        <r>
          <rPr>
            <sz val="10"/>
            <color indexed="81"/>
            <rFont val="맑은 고딕"/>
            <family val="3"/>
            <charset val="128"/>
            <scheme val="minor"/>
          </rPr>
          <t>⑯</t>
        </r>
      </text>
    </comment>
    <comment ref="C43" authorId="0" shapeId="0" xr:uid="{F491356A-624D-4463-B88F-8AF8788AF8C6}">
      <text>
        <r>
          <rPr>
            <b/>
            <sz val="9"/>
            <color indexed="81"/>
            <rFont val="돋움"/>
            <family val="3"/>
            <charset val="129"/>
          </rPr>
          <t>만든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1p  </t>
        </r>
        <r>
          <rPr>
            <sz val="9"/>
            <color indexed="81"/>
            <rFont val="돋움"/>
            <family val="3"/>
            <charset val="129"/>
          </rPr>
          <t>⑩</t>
        </r>
        <r>
          <rPr>
            <sz val="9"/>
            <color indexed="81"/>
            <rFont val="Tahoma"/>
            <family val="2"/>
          </rPr>
          <t xml:space="preserve"> (RKM)</t>
        </r>
      </text>
    </comment>
    <comment ref="E43" authorId="0" shapeId="0" xr:uid="{4CBDB1D9-ACC8-4506-BFFE-A47207769F83}">
      <text>
        <r>
          <rPr>
            <b/>
            <sz val="9"/>
            <color indexed="81"/>
            <rFont val="돋움"/>
            <family val="3"/>
            <charset val="129"/>
          </rPr>
          <t>만든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1p </t>
        </r>
        <r>
          <rPr>
            <sz val="9"/>
            <color indexed="81"/>
            <rFont val="돋움"/>
            <family val="3"/>
            <charset val="129"/>
          </rPr>
          <t>⑪</t>
        </r>
        <r>
          <rPr>
            <sz val="9"/>
            <color indexed="81"/>
            <rFont val="Tahoma"/>
            <family val="2"/>
          </rPr>
          <t xml:space="preserve">  (HKMC)</t>
        </r>
      </text>
    </comment>
    <comment ref="C47" authorId="0" shapeId="0" xr:uid="{5740FADC-7941-41E6-AB9F-18D4399C1E2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3p  </t>
        </r>
        <r>
          <rPr>
            <sz val="9"/>
            <color indexed="81"/>
            <rFont val="돋움"/>
            <family val="3"/>
            <charset val="129"/>
          </rPr>
          <t>⑪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47" authorId="0" shapeId="0" xr:uid="{1844F151-AC6E-454B-8555-984359A2548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3p  </t>
        </r>
        <r>
          <rPr>
            <sz val="9"/>
            <color indexed="81"/>
            <rFont val="돋움"/>
            <family val="3"/>
            <charset val="129"/>
          </rPr>
          <t>⑫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D7" authorId="0" shapeId="0" xr:uid="{C29E4814-755A-426A-B2B3-BA98ACF7E50D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사무직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생산관리+품질보증
</t>
        </r>
      </text>
    </comment>
    <comment ref="I7" authorId="0" shapeId="0" xr:uid="{D6EA8FB4-5653-4A5B-B99B-E35841C0B04D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사무직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생산관리+품질보증
</t>
        </r>
      </text>
    </comment>
    <comment ref="E9" authorId="0" shapeId="0" xr:uid="{0929FFEF-8003-4EDC-96FD-EC67AD896134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실적 자료의 상여금 입력
100번</t>
        </r>
      </text>
    </comment>
    <comment ref="J9" authorId="0" shapeId="0" xr:uid="{724AB484-6996-400D-AC5E-F6D9338B136C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실적자료의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상여금 입력
101번</t>
        </r>
      </text>
    </comment>
    <comment ref="D13" authorId="0" shapeId="0" xr:uid="{ADE8789B-A691-4315-8D2D-4F117882A59F}">
      <text>
        <r>
          <rPr>
            <b/>
            <sz val="9"/>
            <color indexed="81"/>
            <rFont val="Tahoma"/>
            <family val="2"/>
          </rPr>
          <t xml:space="preserve">2021.12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
생관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 xml:space="preserve">원가
</t>
        </r>
        <r>
          <rPr>
            <b/>
            <sz val="9"/>
            <color indexed="81"/>
            <rFont val="Tahoma"/>
            <family val="2"/>
          </rPr>
          <t>(45,910,820+15,545,300-13,209,720)/12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임금인상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
2022.02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급여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생관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품질</t>
        </r>
        <r>
          <rPr>
            <sz val="9"/>
            <color indexed="81"/>
            <rFont val="Tahoma"/>
            <family val="2"/>
          </rPr>
          <t>)/12
(23,006,960+15,017,920)/12</t>
        </r>
      </text>
    </comment>
    <comment ref="I13" authorId="0" shapeId="0" xr:uid="{3D3A3DB1-FD21-4C3F-A0B9-B0061298A327}">
      <text>
        <r>
          <rPr>
            <b/>
            <sz val="9"/>
            <color indexed="81"/>
            <rFont val="Tahoma"/>
            <family val="2"/>
          </rPr>
          <t xml:space="preserve">2021.12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급여
</t>
        </r>
        <r>
          <rPr>
            <b/>
            <sz val="9"/>
            <color indexed="81"/>
            <rFont val="Tahoma"/>
            <family val="2"/>
          </rPr>
          <t xml:space="preserve">(2,482,920+3,940,900)/12
</t>
        </r>
        <r>
          <rPr>
            <b/>
            <sz val="9"/>
            <color indexed="81"/>
            <rFont val="돋움"/>
            <family val="3"/>
            <charset val="129"/>
          </rPr>
          <t>임금인상으로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  <r>
          <rPr>
            <b/>
            <sz val="9"/>
            <color indexed="81"/>
            <rFont val="Tahoma"/>
            <family val="2"/>
          </rPr>
          <t>(2,858,570+4,275,750)/12</t>
        </r>
      </text>
    </comment>
    <comment ref="E15" authorId="0" shapeId="0" xr:uid="{B6A885C0-EEA8-4D9E-A862-A2079BB9EFDF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실적자료의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퇴직추계액 입력 102번</t>
        </r>
      </text>
    </comment>
    <comment ref="J15" authorId="0" shapeId="0" xr:uid="{F30A4D69-EB65-4713-A443-68B21CE2ECB7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실적 자료의 퇴직추계액 입력 103번</t>
        </r>
      </text>
    </comment>
    <comment ref="E24" authorId="0" shapeId="0" xr:uid="{7E566429-DC56-460B-9B0B-58F88B2E5D53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계획자료의 상여금 입력
104번</t>
        </r>
      </text>
    </comment>
    <comment ref="J24" authorId="0" shapeId="0" xr:uid="{C748B363-34BC-4235-AB1B-08B5299A69C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계획자료의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상여금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105</t>
        </r>
        <r>
          <rPr>
            <sz val="9"/>
            <color indexed="81"/>
            <rFont val="돋움"/>
            <family val="3"/>
            <charset val="129"/>
          </rPr>
          <t>번</t>
        </r>
      </text>
    </comment>
    <comment ref="L26" authorId="0" shapeId="0" xr:uid="{828A6FAD-9D66-4D47-B7C5-AF1E930BA97E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개월
</t>
        </r>
      </text>
    </comment>
    <comment ref="E30" authorId="0" shapeId="0" xr:uid="{D4F9CACD-21D9-4F5B-BD70-385389C557DD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계획자료의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퇴직추계액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106</t>
        </r>
        <r>
          <rPr>
            <sz val="9"/>
            <color indexed="81"/>
            <rFont val="돋움"/>
            <family val="3"/>
            <charset val="129"/>
          </rPr>
          <t>번</t>
        </r>
      </text>
    </comment>
    <comment ref="J30" authorId="0" shapeId="0" xr:uid="{DE0559BA-2C33-49DD-A5F5-09C590C24E8C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계획자료의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퇴직추계액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107</t>
        </r>
        <r>
          <rPr>
            <sz val="9"/>
            <color indexed="81"/>
            <rFont val="돋움"/>
            <family val="3"/>
            <charset val="129"/>
          </rPr>
          <t>번</t>
        </r>
      </text>
    </comment>
  </commentList>
</comments>
</file>

<file path=xl/sharedStrings.xml><?xml version="1.0" encoding="utf-8"?>
<sst xmlns="http://schemas.openxmlformats.org/spreadsheetml/2006/main" count="293" uniqueCount="113">
  <si>
    <t>1) 任職員 包含</t>
    <phoneticPr fontId="6" type="noConversion"/>
  </si>
  <si>
    <t>(單位 : 阡Won, 名, %)</t>
    <phoneticPr fontId="6" type="noConversion"/>
  </si>
  <si>
    <t>區  分</t>
    <phoneticPr fontId="6" type="noConversion"/>
  </si>
  <si>
    <t>算  式</t>
    <phoneticPr fontId="6" type="noConversion"/>
  </si>
  <si>
    <t>計</t>
    <phoneticPr fontId="6" type="noConversion"/>
  </si>
  <si>
    <t>累計 實績</t>
    <phoneticPr fontId="6" type="noConversion"/>
  </si>
  <si>
    <t>備考</t>
    <phoneticPr fontId="6" type="noConversion"/>
  </si>
  <si>
    <t>資料</t>
    <phoneticPr fontId="6" type="noConversion"/>
  </si>
  <si>
    <t>指標</t>
    <phoneticPr fontId="6" type="noConversion"/>
  </si>
  <si>
    <t>資料</t>
  </si>
  <si>
    <t>指標</t>
  </si>
  <si>
    <t>附加價値率</t>
    <phoneticPr fontId="6" type="noConversion"/>
  </si>
  <si>
    <t>附加價値額</t>
    <phoneticPr fontId="6" type="noConversion"/>
  </si>
  <si>
    <t xml:space="preserve">   ÷ 賣出額</t>
    <phoneticPr fontId="6" type="noConversion"/>
  </si>
  <si>
    <t xml:space="preserve">   ÷ 常時 從業員數</t>
    <phoneticPr fontId="6" type="noConversion"/>
  </si>
  <si>
    <t>勤勞所得           配分率</t>
    <phoneticPr fontId="6" type="noConversion"/>
  </si>
  <si>
    <t>勞務費,給與,賞與</t>
    <phoneticPr fontId="6" type="noConversion"/>
  </si>
  <si>
    <t xml:space="preserve">   ÷ 附加價値額</t>
    <phoneticPr fontId="6" type="noConversion"/>
  </si>
  <si>
    <t>退職, 福利費</t>
    <phoneticPr fontId="6" type="noConversion"/>
  </si>
  <si>
    <t>人件費</t>
    <phoneticPr fontId="6" type="noConversion"/>
  </si>
  <si>
    <t>賣出額對比     人件費率</t>
    <phoneticPr fontId="6" type="noConversion"/>
  </si>
  <si>
    <t>勞務費,給與,賞與</t>
  </si>
  <si>
    <t xml:space="preserve">   ÷ 賣出額</t>
  </si>
  <si>
    <t>1人當                  賃金水準</t>
    <phoneticPr fontId="6" type="noConversion"/>
  </si>
  <si>
    <t>勞務費,給與,賞與(A)</t>
    <phoneticPr fontId="6" type="noConversion"/>
  </si>
  <si>
    <t>退職金(B)</t>
    <phoneticPr fontId="6" type="noConversion"/>
  </si>
  <si>
    <t xml:space="preserve">   ÷ 常時從業員數</t>
    <phoneticPr fontId="6" type="noConversion"/>
  </si>
  <si>
    <t>(A) + (B)</t>
    <phoneticPr fontId="6" type="noConversion"/>
  </si>
  <si>
    <t xml:space="preserve">   ÷ 常時從業員數</t>
  </si>
  <si>
    <t>最近 1年間 實積</t>
    <phoneticPr fontId="6" type="noConversion"/>
  </si>
  <si>
    <t xml:space="preserve">   ÷  從業員數</t>
    <phoneticPr fontId="6" type="noConversion"/>
  </si>
  <si>
    <t>2) 生産職分</t>
    <phoneticPr fontId="6" type="noConversion"/>
  </si>
  <si>
    <t>常時從業員數</t>
    <phoneticPr fontId="6" type="noConversion"/>
  </si>
  <si>
    <t>直接人員(名)</t>
    <phoneticPr fontId="6" type="noConversion"/>
  </si>
  <si>
    <t>實作業時間</t>
    <phoneticPr fontId="6" type="noConversion"/>
  </si>
  <si>
    <t>時間當賃率</t>
    <phoneticPr fontId="6" type="noConversion"/>
  </si>
  <si>
    <t xml:space="preserve">   ÷ 實作業時間</t>
    <phoneticPr fontId="6" type="noConversion"/>
  </si>
  <si>
    <t>1人 月生産金額</t>
    <phoneticPr fontId="6" type="noConversion"/>
  </si>
  <si>
    <t>生産金額</t>
    <phoneticPr fontId="6" type="noConversion"/>
  </si>
  <si>
    <t>1人 總勞務費</t>
    <phoneticPr fontId="6" type="noConversion"/>
  </si>
  <si>
    <t>勞務費, 賞與金</t>
    <phoneticPr fontId="6" type="noConversion"/>
  </si>
  <si>
    <t>退職金</t>
    <phoneticPr fontId="6" type="noConversion"/>
  </si>
  <si>
    <t>總勞務費</t>
    <phoneticPr fontId="6" type="noConversion"/>
  </si>
  <si>
    <t>1원當 生産金額</t>
    <phoneticPr fontId="6" type="noConversion"/>
  </si>
  <si>
    <t xml:space="preserve">   ÷ 總勞務費</t>
    <phoneticPr fontId="6" type="noConversion"/>
  </si>
  <si>
    <t>資料</t>
    <phoneticPr fontId="11" type="noConversion"/>
  </si>
  <si>
    <t>勞動生産性</t>
    <phoneticPr fontId="6" type="noConversion"/>
  </si>
  <si>
    <t>1人當</t>
    <phoneticPr fontId="6" type="noConversion"/>
  </si>
  <si>
    <t xml:space="preserve">     (6.1) 總括</t>
    <phoneticPr fontId="6" type="noConversion"/>
  </si>
  <si>
    <t>[상여 및 퇴직급여 구분] 실적</t>
    <phoneticPr fontId="23" type="noConversion"/>
  </si>
  <si>
    <t>구분</t>
    <phoneticPr fontId="23" type="noConversion"/>
  </si>
  <si>
    <t>번호</t>
    <phoneticPr fontId="23" type="noConversion"/>
  </si>
  <si>
    <t>금액</t>
    <phoneticPr fontId="23" type="noConversion"/>
  </si>
  <si>
    <t>상여금</t>
    <phoneticPr fontId="23" type="noConversion"/>
  </si>
  <si>
    <t>사무직</t>
    <phoneticPr fontId="23" type="noConversion"/>
  </si>
  <si>
    <t>생산직</t>
    <phoneticPr fontId="23" type="noConversion"/>
  </si>
  <si>
    <t>계</t>
    <phoneticPr fontId="23" type="noConversion"/>
  </si>
  <si>
    <t>퇴직급여</t>
    <phoneticPr fontId="23" type="noConversion"/>
  </si>
  <si>
    <t>[상여 및 퇴직급여 구분] 계획</t>
    <phoneticPr fontId="23" type="noConversion"/>
  </si>
  <si>
    <t>금액</t>
    <phoneticPr fontId="26" type="noConversion"/>
  </si>
  <si>
    <t xml:space="preserve"> * 퇴직급여는 매달 변동. 사무직 급여가 일정하니 사무직 급여를 기본 셋팅하여 생산직은 차액 금액 넣음.</t>
    <phoneticPr fontId="23" type="noConversion"/>
  </si>
  <si>
    <t>김해</t>
    <phoneticPr fontId="1" type="noConversion"/>
  </si>
  <si>
    <t>부산</t>
    <phoneticPr fontId="1" type="noConversion"/>
  </si>
  <si>
    <t>합계</t>
    <phoneticPr fontId="1" type="noConversion"/>
  </si>
  <si>
    <t>관리</t>
    <phoneticPr fontId="1" type="noConversion"/>
  </si>
  <si>
    <t>생산</t>
    <phoneticPr fontId="1" type="noConversion"/>
  </si>
  <si>
    <t xml:space="preserve">제외 : </t>
    <phoneticPr fontId="1" type="noConversion"/>
  </si>
  <si>
    <t>총 잔업시간</t>
    <phoneticPr fontId="1" type="noConversion"/>
  </si>
  <si>
    <t>기본근로시간</t>
    <phoneticPr fontId="1" type="noConversion"/>
  </si>
  <si>
    <t>근무시간</t>
    <phoneticPr fontId="1" type="noConversion"/>
  </si>
  <si>
    <t>실 작업시간</t>
    <phoneticPr fontId="1" type="noConversion"/>
  </si>
  <si>
    <t xml:space="preserve">기본급 1/2 </t>
    <phoneticPr fontId="1" type="noConversion"/>
  </si>
  <si>
    <t>3 페이지</t>
    <phoneticPr fontId="1" type="noConversion"/>
  </si>
  <si>
    <t>4 페이지</t>
    <phoneticPr fontId="1" type="noConversion"/>
  </si>
  <si>
    <t>RKM</t>
    <phoneticPr fontId="6" type="noConversion"/>
  </si>
  <si>
    <t>HKMC</t>
    <phoneticPr fontId="6" type="noConversion"/>
  </si>
  <si>
    <t>RKM</t>
    <phoneticPr fontId="1" type="noConversion"/>
  </si>
  <si>
    <t>HKMC</t>
    <phoneticPr fontId="1" type="noConversion"/>
  </si>
  <si>
    <t>고정 값</t>
    <phoneticPr fontId="1" type="noConversion"/>
  </si>
  <si>
    <t>&lt;RKM&gt;</t>
    <phoneticPr fontId="23" type="noConversion"/>
  </si>
  <si>
    <t>&lt;HKMC&gt;</t>
    <phoneticPr fontId="23" type="noConversion"/>
  </si>
  <si>
    <t>신재만</t>
    <phoneticPr fontId="1" type="noConversion"/>
  </si>
  <si>
    <t>이광호</t>
    <phoneticPr fontId="1" type="noConversion"/>
  </si>
  <si>
    <t>박상미</t>
    <phoneticPr fontId="1" type="noConversion"/>
  </si>
  <si>
    <t>황성현</t>
    <phoneticPr fontId="1" type="noConversion"/>
  </si>
  <si>
    <t>유희문</t>
    <phoneticPr fontId="1" type="noConversion"/>
  </si>
  <si>
    <t>오택민</t>
    <phoneticPr fontId="1" type="noConversion"/>
  </si>
  <si>
    <t>이혜원</t>
    <phoneticPr fontId="1" type="noConversion"/>
  </si>
  <si>
    <t>임재홍</t>
    <phoneticPr fontId="1" type="noConversion"/>
  </si>
  <si>
    <t>임정근</t>
    <phoneticPr fontId="1" type="noConversion"/>
  </si>
  <si>
    <t>&lt;HKMC&gt;</t>
    <phoneticPr fontId="1" type="noConversion"/>
  </si>
  <si>
    <t>퇴직급여</t>
    <phoneticPr fontId="1" type="noConversion"/>
  </si>
  <si>
    <t xml:space="preserve">   (6.2) 事業部別</t>
    <phoneticPr fontId="6" type="noConversion"/>
  </si>
  <si>
    <t>指標</t>
    <phoneticPr fontId="1" type="noConversion"/>
  </si>
  <si>
    <t xml:space="preserve">입사 : </t>
    <phoneticPr fontId="1" type="noConversion"/>
  </si>
  <si>
    <t>(당월) 생산인원*8*근무일수(주차, 유급포함)</t>
    <phoneticPr fontId="1" type="noConversion"/>
  </si>
  <si>
    <t xml:space="preserve">퇴사 : </t>
    <phoneticPr fontId="1" type="noConversion"/>
  </si>
  <si>
    <t>1p ⑬</t>
  </si>
  <si>
    <t>1p ⑭</t>
    <phoneticPr fontId="1" type="noConversion"/>
  </si>
  <si>
    <t xml:space="preserve">1p수정계획 임금 </t>
    <phoneticPr fontId="1" type="noConversion"/>
  </si>
  <si>
    <t>2p수정계획 임금</t>
    <phoneticPr fontId="1" type="noConversion"/>
  </si>
  <si>
    <t xml:space="preserve">  </t>
    <phoneticPr fontId="1" type="noConversion"/>
  </si>
  <si>
    <t>이대호</t>
    <phoneticPr fontId="1" type="noConversion"/>
  </si>
  <si>
    <t>오세범</t>
    <phoneticPr fontId="1" type="noConversion"/>
  </si>
  <si>
    <t>이권희</t>
    <phoneticPr fontId="1" type="noConversion"/>
  </si>
  <si>
    <t>김도훈</t>
    <phoneticPr fontId="1" type="noConversion"/>
  </si>
  <si>
    <t>장상훈</t>
    <phoneticPr fontId="1" type="noConversion"/>
  </si>
  <si>
    <t>황상석</t>
    <phoneticPr fontId="1" type="noConversion"/>
  </si>
  <si>
    <t>&lt;26년 03월 노무비&gt;</t>
    <phoneticPr fontId="23" type="noConversion"/>
  </si>
  <si>
    <t>26년 03월 노무비(인원,근무시간 등)</t>
    <phoneticPr fontId="1" type="noConversion"/>
  </si>
  <si>
    <t>2025年 實積</t>
    <phoneticPr fontId="6" type="noConversion"/>
  </si>
  <si>
    <t>2026年 計劃</t>
    <phoneticPr fontId="6" type="noConversion"/>
  </si>
  <si>
    <t>03月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</si>
</sst>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76" formatCode="#,##0.0\ ;&quot;▲&quot;#,##0.0\ ;"/>
    <numFmt numFmtId="177" formatCode="#,##0\ ;&quot;▲&quot;#,##0\ ;"/>
    <numFmt numFmtId="178" formatCode="#,##0.0%\ ;&quot;▲&quot;#,##0.0%\ ;"/>
    <numFmt numFmtId="179" formatCode="##&quot;月 累計實積&quot;"/>
    <numFmt numFmtId="180" formatCode="_-* #,##0_-;\-* #,##0_-;_-* &quot;-&quot;??_-;_-@_-"/>
    <numFmt numFmtId="181" formatCode="yyyy&quot;년&quot;\ m&quot;월&quot;;@"/>
    <numFmt numFmtId="182" formatCode="#,##0_);[Red]\(#,##0\)"/>
    <numFmt numFmtId="183" formatCode="_-* #,##0.0_-;\-* #,##0.0_-;_-* &quot;-&quot;_-;_-@_-"/>
    <numFmt numFmtId="184" formatCode="_-* #,##0.0_-;\-* #,##0.0_-;_-* &quot;-&quot;?_-;_-@_-"/>
    <numFmt numFmtId="185" formatCode="_-* #,##0_-;\-* #,##0_-;_-* &quot;-&quot;?_-;_-@_-"/>
    <numFmt numFmtId="186" formatCode="0.0%"/>
    <numFmt numFmtId="187" formatCode="mm&quot;月 事業計劃&quot;"/>
    <numFmt numFmtId="188" formatCode="mm&quot;月 修正計劃&quot;"/>
    <numFmt numFmtId="189" formatCode="mm&quot;月 實績(ⓑ)&quot;"/>
    <numFmt numFmtId="190" formatCode="#,###"/>
    <numFmt numFmtId="191" formatCode="#,##0_ "/>
  </numFmts>
  <fonts count="5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바탕"/>
      <family val="1"/>
      <charset val="129"/>
    </font>
    <font>
      <b/>
      <sz val="16"/>
      <name val="바탕"/>
      <family val="1"/>
      <charset val="129"/>
    </font>
    <font>
      <b/>
      <sz val="14"/>
      <name val="바탕"/>
      <family val="1"/>
      <charset val="129"/>
    </font>
    <font>
      <sz val="8"/>
      <name val="돋움"/>
      <family val="3"/>
      <charset val="129"/>
    </font>
    <font>
      <b/>
      <sz val="12"/>
      <name val="바탕"/>
      <family val="1"/>
      <charset val="129"/>
    </font>
    <font>
      <b/>
      <sz val="10"/>
      <name val="바탕"/>
      <family val="1"/>
      <charset val="129"/>
    </font>
    <font>
      <sz val="8"/>
      <name val="바탕"/>
      <family val="1"/>
      <charset val="129"/>
    </font>
    <font>
      <b/>
      <sz val="8"/>
      <name val="바탕"/>
      <family val="1"/>
      <charset val="129"/>
    </font>
    <font>
      <sz val="8"/>
      <name val="맑은 고딕"/>
      <family val="3"/>
      <charset val="129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color theme="1"/>
      <name val="바탕"/>
      <family val="1"/>
      <charset val="129"/>
    </font>
    <font>
      <sz val="9"/>
      <color indexed="81"/>
      <name val="MS Gothic"/>
      <family val="3"/>
      <charset val="128"/>
    </font>
    <font>
      <sz val="11"/>
      <color theme="1"/>
      <name val="맑은 고딕"/>
      <family val="2"/>
      <scheme val="minor"/>
    </font>
    <font>
      <sz val="8"/>
      <name val="맑은 고딕"/>
      <family val="2"/>
    </font>
    <font>
      <sz val="11"/>
      <color indexed="8"/>
      <name val="맑은 고딕"/>
      <family val="2"/>
    </font>
    <font>
      <sz val="11"/>
      <color rgb="FFFF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indexed="81"/>
      <name val="맑은 고딕"/>
      <family val="3"/>
      <charset val="129"/>
      <scheme val="minor"/>
    </font>
    <font>
      <sz val="10"/>
      <color indexed="81"/>
      <name val="맑은 고딕"/>
      <family val="3"/>
      <charset val="128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name val="바탕"/>
      <family val="1"/>
      <charset val="129"/>
    </font>
    <font>
      <sz val="10"/>
      <name val="바탕"/>
      <family val="1"/>
      <charset val="129"/>
    </font>
  </fonts>
  <fills count="4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</fills>
  <borders count="10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59">
    <xf numFmtId="0" fontId="0" fillId="0" borderId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79" applyNumberFormat="0" applyFill="0" applyAlignment="0" applyProtection="0">
      <alignment vertical="center"/>
    </xf>
    <xf numFmtId="0" fontId="33" fillId="0" borderId="80" applyNumberFormat="0" applyFill="0" applyAlignment="0" applyProtection="0">
      <alignment vertical="center"/>
    </xf>
    <xf numFmtId="0" fontId="34" fillId="0" borderId="81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82" applyNumberFormat="0" applyAlignment="0" applyProtection="0">
      <alignment vertical="center"/>
    </xf>
    <xf numFmtId="0" fontId="39" fillId="15" borderId="83" applyNumberFormat="0" applyAlignment="0" applyProtection="0">
      <alignment vertical="center"/>
    </xf>
    <xf numFmtId="0" fontId="40" fillId="15" borderId="82" applyNumberFormat="0" applyAlignment="0" applyProtection="0">
      <alignment vertical="center"/>
    </xf>
    <xf numFmtId="0" fontId="41" fillId="0" borderId="84" applyNumberFormat="0" applyFill="0" applyAlignment="0" applyProtection="0">
      <alignment vertical="center"/>
    </xf>
    <xf numFmtId="0" fontId="42" fillId="16" borderId="8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9" fillId="17" borderId="86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87" applyNumberFormat="0" applyFill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</cellStyleXfs>
  <cellXfs count="342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176" fontId="3" fillId="0" borderId="0" xfId="1" applyNumberFormat="1" applyFont="1" applyAlignment="1">
      <alignment vertical="center"/>
    </xf>
    <xf numFmtId="41" fontId="4" fillId="0" borderId="0" xfId="2" applyFont="1" applyAlignment="1">
      <alignment vertical="center"/>
    </xf>
    <xf numFmtId="41" fontId="5" fillId="0" borderId="0" xfId="2" applyFont="1" applyAlignment="1">
      <alignment vertical="center"/>
    </xf>
    <xf numFmtId="41" fontId="7" fillId="0" borderId="0" xfId="2" applyFont="1" applyAlignment="1">
      <alignment vertical="center"/>
    </xf>
    <xf numFmtId="177" fontId="9" fillId="0" borderId="0" xfId="2" applyNumberFormat="1" applyFont="1" applyAlignment="1">
      <alignment horizontal="right" vertical="center"/>
    </xf>
    <xf numFmtId="41" fontId="9" fillId="0" borderId="0" xfId="2" applyFont="1" applyAlignment="1">
      <alignment vertical="center"/>
    </xf>
    <xf numFmtId="41" fontId="9" fillId="0" borderId="13" xfId="2" applyFont="1" applyFill="1" applyBorder="1" applyAlignment="1">
      <alignment horizontal="center" vertical="center"/>
    </xf>
    <xf numFmtId="176" fontId="9" fillId="0" borderId="14" xfId="2" applyNumberFormat="1" applyFont="1" applyFill="1" applyBorder="1" applyAlignment="1">
      <alignment horizontal="center" vertical="center"/>
    </xf>
    <xf numFmtId="176" fontId="9" fillId="0" borderId="15" xfId="2" applyNumberFormat="1" applyFont="1" applyFill="1" applyBorder="1" applyAlignment="1">
      <alignment horizontal="center" vertical="center"/>
    </xf>
    <xf numFmtId="41" fontId="9" fillId="0" borderId="16" xfId="2" applyFont="1" applyBorder="1" applyAlignment="1">
      <alignment vertical="center"/>
    </xf>
    <xf numFmtId="41" fontId="9" fillId="0" borderId="4" xfId="2" applyFont="1" applyFill="1" applyBorder="1" applyAlignment="1">
      <alignment vertical="center"/>
    </xf>
    <xf numFmtId="41" fontId="9" fillId="0" borderId="17" xfId="2" applyFont="1" applyBorder="1" applyAlignment="1">
      <alignment vertical="center"/>
    </xf>
    <xf numFmtId="41" fontId="9" fillId="0" borderId="19" xfId="2" applyFont="1" applyBorder="1" applyAlignment="1">
      <alignment vertical="center"/>
    </xf>
    <xf numFmtId="41" fontId="9" fillId="0" borderId="22" xfId="2" applyFont="1" applyBorder="1" applyAlignment="1">
      <alignment vertical="center"/>
    </xf>
    <xf numFmtId="41" fontId="9" fillId="0" borderId="25" xfId="2" applyFont="1" applyBorder="1" applyAlignment="1">
      <alignment vertical="center"/>
    </xf>
    <xf numFmtId="41" fontId="9" fillId="0" borderId="27" xfId="2" applyFont="1" applyBorder="1" applyAlignment="1">
      <alignment vertical="center"/>
    </xf>
    <xf numFmtId="41" fontId="9" fillId="0" borderId="32" xfId="2" applyFont="1" applyBorder="1" applyAlignment="1">
      <alignment vertical="center"/>
    </xf>
    <xf numFmtId="41" fontId="9" fillId="0" borderId="34" xfId="2" applyFont="1" applyBorder="1" applyAlignment="1">
      <alignment vertical="center"/>
    </xf>
    <xf numFmtId="41" fontId="9" fillId="2" borderId="32" xfId="2" applyFont="1" applyFill="1" applyBorder="1" applyAlignment="1">
      <alignment vertical="center"/>
    </xf>
    <xf numFmtId="41" fontId="9" fillId="3" borderId="16" xfId="2" applyFont="1" applyFill="1" applyBorder="1" applyAlignment="1">
      <alignment vertical="center"/>
    </xf>
    <xf numFmtId="41" fontId="9" fillId="3" borderId="22" xfId="2" applyFont="1" applyFill="1" applyBorder="1" applyAlignment="1">
      <alignment vertical="center"/>
    </xf>
    <xf numFmtId="41" fontId="9" fillId="0" borderId="10" xfId="2" applyFont="1" applyBorder="1" applyAlignment="1">
      <alignment vertical="center"/>
    </xf>
    <xf numFmtId="41" fontId="9" fillId="0" borderId="13" xfId="2" applyFont="1" applyBorder="1" applyAlignment="1">
      <alignment vertical="center"/>
    </xf>
    <xf numFmtId="41" fontId="9" fillId="0" borderId="38" xfId="2" applyFont="1" applyBorder="1" applyAlignment="1">
      <alignment vertical="center"/>
    </xf>
    <xf numFmtId="0" fontId="9" fillId="0" borderId="0" xfId="1" applyFont="1" applyAlignment="1">
      <alignment vertical="center"/>
    </xf>
    <xf numFmtId="41" fontId="9" fillId="0" borderId="0" xfId="2" applyFont="1" applyBorder="1" applyAlignment="1">
      <alignment vertical="center"/>
    </xf>
    <xf numFmtId="176" fontId="9" fillId="0" borderId="0" xfId="2" applyNumberFormat="1" applyFont="1" applyBorder="1" applyAlignment="1">
      <alignment vertical="center"/>
    </xf>
    <xf numFmtId="176" fontId="9" fillId="0" borderId="0" xfId="1" applyNumberFormat="1" applyFont="1" applyAlignment="1">
      <alignment vertical="center"/>
    </xf>
    <xf numFmtId="0" fontId="9" fillId="0" borderId="46" xfId="1" applyFont="1" applyBorder="1" applyAlignment="1">
      <alignment horizontal="center" vertical="center"/>
    </xf>
    <xf numFmtId="41" fontId="9" fillId="0" borderId="8" xfId="2" applyFont="1" applyFill="1" applyBorder="1" applyAlignment="1">
      <alignment vertical="center"/>
    </xf>
    <xf numFmtId="41" fontId="9" fillId="0" borderId="48" xfId="2" applyFont="1" applyFill="1" applyBorder="1" applyAlignment="1">
      <alignment vertical="center"/>
    </xf>
    <xf numFmtId="41" fontId="9" fillId="0" borderId="0" xfId="1" applyNumberFormat="1" applyFont="1" applyAlignment="1">
      <alignment vertical="center"/>
    </xf>
    <xf numFmtId="41" fontId="10" fillId="0" borderId="0" xfId="2" applyFont="1" applyAlignment="1">
      <alignment vertical="center"/>
    </xf>
    <xf numFmtId="41" fontId="9" fillId="0" borderId="38" xfId="2" applyFont="1" applyFill="1" applyBorder="1" applyAlignment="1">
      <alignment horizontal="center" vertical="center"/>
    </xf>
    <xf numFmtId="176" fontId="9" fillId="0" borderId="51" xfId="2" applyNumberFormat="1" applyFont="1" applyFill="1" applyBorder="1" applyAlignment="1">
      <alignment horizontal="center" vertical="center"/>
    </xf>
    <xf numFmtId="41" fontId="9" fillId="0" borderId="52" xfId="2" applyFont="1" applyFill="1" applyBorder="1" applyAlignment="1">
      <alignment horizontal="center" vertical="center"/>
    </xf>
    <xf numFmtId="41" fontId="9" fillId="0" borderId="3" xfId="2" applyFont="1" applyBorder="1" applyAlignment="1">
      <alignment horizontal="center" vertical="center"/>
    </xf>
    <xf numFmtId="41" fontId="9" fillId="0" borderId="5" xfId="2" applyFont="1" applyBorder="1" applyAlignment="1">
      <alignment vertical="center"/>
    </xf>
    <xf numFmtId="41" fontId="9" fillId="0" borderId="17" xfId="2" applyFont="1" applyFill="1" applyBorder="1" applyAlignment="1">
      <alignment vertical="center"/>
    </xf>
    <xf numFmtId="177" fontId="9" fillId="0" borderId="2" xfId="2" applyNumberFormat="1" applyFont="1" applyBorder="1" applyAlignment="1">
      <alignment vertical="center"/>
    </xf>
    <xf numFmtId="41" fontId="9" fillId="0" borderId="23" xfId="2" applyFont="1" applyBorder="1" applyAlignment="1">
      <alignment horizontal="center" vertical="center"/>
    </xf>
    <xf numFmtId="41" fontId="9" fillId="0" borderId="54" xfId="2" applyFont="1" applyBorder="1" applyAlignment="1">
      <alignment vertical="center"/>
    </xf>
    <xf numFmtId="41" fontId="9" fillId="0" borderId="25" xfId="2" applyFont="1" applyFill="1" applyBorder="1" applyAlignment="1">
      <alignment vertical="center"/>
    </xf>
    <xf numFmtId="41" fontId="9" fillId="0" borderId="32" xfId="2" applyFont="1" applyFill="1" applyBorder="1" applyAlignment="1">
      <alignment vertical="center"/>
    </xf>
    <xf numFmtId="41" fontId="9" fillId="0" borderId="57" xfId="2" applyFont="1" applyFill="1" applyBorder="1" applyAlignment="1">
      <alignment vertical="center"/>
    </xf>
    <xf numFmtId="41" fontId="9" fillId="0" borderId="59" xfId="2" applyFont="1" applyFill="1" applyBorder="1" applyAlignment="1">
      <alignment vertical="center"/>
    </xf>
    <xf numFmtId="41" fontId="9" fillId="0" borderId="57" xfId="2" applyFont="1" applyBorder="1" applyAlignment="1">
      <alignment vertical="center"/>
    </xf>
    <xf numFmtId="41" fontId="9" fillId="0" borderId="59" xfId="2" applyFont="1" applyBorder="1" applyAlignment="1">
      <alignment vertical="center"/>
    </xf>
    <xf numFmtId="41" fontId="9" fillId="0" borderId="52" xfId="2" applyFont="1" applyBorder="1" applyAlignment="1">
      <alignment vertical="center"/>
    </xf>
    <xf numFmtId="177" fontId="3" fillId="0" borderId="0" xfId="1" applyNumberFormat="1" applyFont="1" applyAlignment="1">
      <alignment vertical="center"/>
    </xf>
    <xf numFmtId="0" fontId="3" fillId="2" borderId="0" xfId="1" applyFont="1" applyFill="1" applyAlignment="1">
      <alignment vertical="center"/>
    </xf>
    <xf numFmtId="176" fontId="3" fillId="2" borderId="0" xfId="1" applyNumberFormat="1" applyFont="1" applyFill="1" applyAlignment="1">
      <alignment vertical="center"/>
    </xf>
    <xf numFmtId="41" fontId="3" fillId="0" borderId="0" xfId="2" applyFont="1" applyAlignment="1">
      <alignment vertical="center"/>
    </xf>
    <xf numFmtId="41" fontId="9" fillId="0" borderId="34" xfId="2" applyFont="1" applyFill="1" applyBorder="1" applyAlignment="1">
      <alignment vertical="center"/>
    </xf>
    <xf numFmtId="41" fontId="9" fillId="0" borderId="27" xfId="2" applyFont="1" applyFill="1" applyBorder="1" applyAlignment="1">
      <alignment vertical="center"/>
    </xf>
    <xf numFmtId="41" fontId="3" fillId="0" borderId="0" xfId="1" applyNumberFormat="1" applyFont="1" applyAlignment="1">
      <alignment vertical="center"/>
    </xf>
    <xf numFmtId="41" fontId="4" fillId="0" borderId="0" xfId="2" applyFont="1" applyFill="1" applyAlignment="1">
      <alignment vertical="center"/>
    </xf>
    <xf numFmtId="41" fontId="5" fillId="0" borderId="0" xfId="2" applyFont="1" applyFill="1" applyAlignment="1">
      <alignment vertical="center"/>
    </xf>
    <xf numFmtId="41" fontId="7" fillId="0" borderId="0" xfId="2" applyFont="1" applyFill="1" applyAlignment="1">
      <alignment vertical="center"/>
    </xf>
    <xf numFmtId="41" fontId="8" fillId="0" borderId="0" xfId="2" applyFont="1" applyFill="1" applyAlignment="1">
      <alignment vertical="center"/>
    </xf>
    <xf numFmtId="177" fontId="9" fillId="0" borderId="0" xfId="2" applyNumberFormat="1" applyFont="1" applyFill="1" applyAlignment="1">
      <alignment horizontal="right" vertical="center"/>
    </xf>
    <xf numFmtId="41" fontId="9" fillId="0" borderId="71" xfId="2" applyFont="1" applyBorder="1" applyAlignment="1">
      <alignment vertical="center"/>
    </xf>
    <xf numFmtId="0" fontId="9" fillId="0" borderId="40" xfId="1" applyFont="1" applyBorder="1" applyAlignment="1">
      <alignment horizontal="center" vertical="center"/>
    </xf>
    <xf numFmtId="0" fontId="9" fillId="0" borderId="36" xfId="1" applyFont="1" applyBorder="1" applyAlignment="1">
      <alignment horizontal="center" vertical="center"/>
    </xf>
    <xf numFmtId="41" fontId="9" fillId="0" borderId="16" xfId="2" applyFont="1" applyFill="1" applyBorder="1" applyAlignment="1">
      <alignment vertical="center"/>
    </xf>
    <xf numFmtId="41" fontId="9" fillId="0" borderId="72" xfId="2" applyFont="1" applyFill="1" applyBorder="1" applyAlignment="1">
      <alignment vertical="center"/>
    </xf>
    <xf numFmtId="0" fontId="9" fillId="0" borderId="9" xfId="1" applyFont="1" applyBorder="1" applyAlignment="1">
      <alignment horizontal="center" vertical="center"/>
    </xf>
    <xf numFmtId="41" fontId="9" fillId="0" borderId="10" xfId="2" applyFont="1" applyFill="1" applyBorder="1" applyAlignment="1">
      <alignment vertical="center"/>
    </xf>
    <xf numFmtId="180" fontId="9" fillId="0" borderId="48" xfId="2" applyNumberFormat="1" applyFont="1" applyFill="1" applyBorder="1" applyAlignment="1">
      <alignment vertical="center"/>
    </xf>
    <xf numFmtId="41" fontId="9" fillId="2" borderId="25" xfId="2" applyFont="1" applyFill="1" applyBorder="1" applyAlignment="1">
      <alignment vertical="center"/>
    </xf>
    <xf numFmtId="0" fontId="9" fillId="2" borderId="0" xfId="1" applyFont="1" applyFill="1" applyAlignment="1">
      <alignment vertical="center"/>
    </xf>
    <xf numFmtId="176" fontId="9" fillId="2" borderId="0" xfId="1" applyNumberFormat="1" applyFont="1" applyFill="1" applyAlignment="1">
      <alignment vertical="center"/>
    </xf>
    <xf numFmtId="0" fontId="9" fillId="0" borderId="1" xfId="1" applyFont="1" applyBorder="1" applyAlignment="1">
      <alignment horizontal="center" vertical="center"/>
    </xf>
    <xf numFmtId="41" fontId="9" fillId="0" borderId="2" xfId="2" applyFont="1" applyFill="1" applyBorder="1" applyAlignment="1">
      <alignment vertical="center"/>
    </xf>
    <xf numFmtId="177" fontId="9" fillId="0" borderId="0" xfId="1" applyNumberFormat="1" applyFont="1" applyAlignment="1">
      <alignment vertical="center"/>
    </xf>
    <xf numFmtId="41" fontId="9" fillId="0" borderId="0" xfId="14" applyFont="1" applyAlignment="1">
      <alignment vertical="center"/>
    </xf>
    <xf numFmtId="41" fontId="3" fillId="0" borderId="0" xfId="14" applyFont="1" applyAlignment="1">
      <alignment vertical="center"/>
    </xf>
    <xf numFmtId="41" fontId="20" fillId="0" borderId="48" xfId="2" applyFont="1" applyFill="1" applyBorder="1" applyAlignment="1">
      <alignment vertical="center"/>
    </xf>
    <xf numFmtId="177" fontId="9" fillId="0" borderId="2" xfId="2" applyNumberFormat="1" applyFont="1" applyFill="1" applyBorder="1" applyAlignment="1">
      <alignment vertical="center"/>
    </xf>
    <xf numFmtId="0" fontId="3" fillId="0" borderId="0" xfId="1" applyFont="1" applyAlignment="1">
      <alignment vertical="center" shrinkToFit="1"/>
    </xf>
    <xf numFmtId="41" fontId="9" fillId="0" borderId="0" xfId="2" applyFont="1" applyAlignment="1">
      <alignment vertical="center" shrinkToFit="1"/>
    </xf>
    <xf numFmtId="41" fontId="9" fillId="0" borderId="0" xfId="2" applyFont="1" applyFill="1" applyBorder="1" applyAlignment="1">
      <alignment vertical="center" shrinkToFit="1"/>
    </xf>
    <xf numFmtId="0" fontId="9" fillId="0" borderId="0" xfId="1" applyFont="1" applyAlignment="1">
      <alignment vertical="center" shrinkToFit="1"/>
    </xf>
    <xf numFmtId="43" fontId="9" fillId="0" borderId="0" xfId="1" applyNumberFormat="1" applyFont="1" applyAlignment="1">
      <alignment vertical="center" shrinkToFit="1"/>
    </xf>
    <xf numFmtId="41" fontId="9" fillId="0" borderId="0" xfId="14" applyFont="1" applyAlignment="1">
      <alignment vertical="center" shrinkToFit="1"/>
    </xf>
    <xf numFmtId="41" fontId="9" fillId="0" borderId="0" xfId="2" applyFont="1" applyFill="1" applyBorder="1" applyAlignment="1">
      <alignment horizontal="center" vertical="center"/>
    </xf>
    <xf numFmtId="178" fontId="9" fillId="0" borderId="0" xfId="2" applyNumberFormat="1" applyFont="1" applyFill="1" applyBorder="1" applyAlignment="1">
      <alignment vertical="center"/>
    </xf>
    <xf numFmtId="177" fontId="9" fillId="0" borderId="0" xfId="2" applyNumberFormat="1" applyFont="1" applyFill="1" applyBorder="1" applyAlignment="1">
      <alignment vertical="center"/>
    </xf>
    <xf numFmtId="0" fontId="9" fillId="0" borderId="0" xfId="1" applyFont="1" applyAlignment="1">
      <alignment horizontal="center" vertical="center"/>
    </xf>
    <xf numFmtId="41" fontId="9" fillId="0" borderId="71" xfId="2" applyFont="1" applyFill="1" applyBorder="1" applyAlignment="1">
      <alignment vertical="center"/>
    </xf>
    <xf numFmtId="41" fontId="9" fillId="0" borderId="13" xfId="2" applyFont="1" applyFill="1" applyBorder="1" applyAlignment="1">
      <alignment vertical="center"/>
    </xf>
    <xf numFmtId="41" fontId="9" fillId="0" borderId="0" xfId="2" applyFont="1" applyFill="1" applyBorder="1" applyAlignment="1">
      <alignment vertical="center"/>
    </xf>
    <xf numFmtId="41" fontId="9" fillId="4" borderId="19" xfId="2" applyFont="1" applyFill="1" applyBorder="1" applyAlignment="1">
      <alignment vertical="center"/>
    </xf>
    <xf numFmtId="41" fontId="9" fillId="4" borderId="27" xfId="2" applyFont="1" applyFill="1" applyBorder="1" applyAlignment="1">
      <alignment vertical="center"/>
    </xf>
    <xf numFmtId="41" fontId="9" fillId="4" borderId="61" xfId="2" applyFont="1" applyFill="1" applyBorder="1" applyAlignment="1">
      <alignment vertical="center"/>
    </xf>
    <xf numFmtId="41" fontId="9" fillId="4" borderId="59" xfId="2" applyFont="1" applyFill="1" applyBorder="1" applyAlignment="1">
      <alignment vertical="center"/>
    </xf>
    <xf numFmtId="41" fontId="9" fillId="4" borderId="34" xfId="2" applyFont="1" applyFill="1" applyBorder="1" applyAlignment="1">
      <alignment vertical="center"/>
    </xf>
    <xf numFmtId="41" fontId="9" fillId="4" borderId="57" xfId="2" applyFont="1" applyFill="1" applyBorder="1" applyAlignment="1">
      <alignment vertical="center"/>
    </xf>
    <xf numFmtId="182" fontId="9" fillId="0" borderId="0" xfId="1" applyNumberFormat="1" applyFont="1" applyAlignment="1">
      <alignment vertical="center" shrinkToFit="1"/>
    </xf>
    <xf numFmtId="0" fontId="22" fillId="0" borderId="0" xfId="16">
      <alignment vertical="center"/>
    </xf>
    <xf numFmtId="41" fontId="0" fillId="0" borderId="0" xfId="17" applyFont="1">
      <alignment vertical="center"/>
    </xf>
    <xf numFmtId="0" fontId="22" fillId="0" borderId="0" xfId="16" applyAlignment="1">
      <alignment horizontal="center" vertical="center"/>
    </xf>
    <xf numFmtId="41" fontId="22" fillId="0" borderId="0" xfId="16" applyNumberFormat="1" applyAlignment="1">
      <alignment horizontal="center" vertical="center"/>
    </xf>
    <xf numFmtId="41" fontId="0" fillId="0" borderId="0" xfId="17" applyFont="1" applyAlignment="1">
      <alignment horizontal="center" vertical="center"/>
    </xf>
    <xf numFmtId="0" fontId="22" fillId="0" borderId="75" xfId="16" applyBorder="1" applyAlignment="1">
      <alignment horizontal="center" vertical="center"/>
    </xf>
    <xf numFmtId="41" fontId="0" fillId="6" borderId="75" xfId="17" applyFont="1" applyFill="1" applyBorder="1" applyAlignment="1">
      <alignment horizontal="center" vertical="center"/>
    </xf>
    <xf numFmtId="0" fontId="25" fillId="0" borderId="75" xfId="16" applyFont="1" applyBorder="1" applyAlignment="1">
      <alignment horizontal="center" vertical="center"/>
    </xf>
    <xf numFmtId="41" fontId="0" fillId="0" borderId="75" xfId="17" applyFont="1" applyBorder="1" applyAlignment="1">
      <alignment horizontal="center" vertical="center"/>
    </xf>
    <xf numFmtId="0" fontId="22" fillId="8" borderId="75" xfId="16" applyFill="1" applyBorder="1" applyAlignment="1">
      <alignment horizontal="center" vertical="center"/>
    </xf>
    <xf numFmtId="41" fontId="0" fillId="8" borderId="75" xfId="17" applyFont="1" applyFill="1" applyBorder="1" applyAlignment="1">
      <alignment horizontal="center" vertical="center"/>
    </xf>
    <xf numFmtId="41" fontId="0" fillId="9" borderId="75" xfId="17" applyFont="1" applyFill="1" applyBorder="1" applyAlignment="1">
      <alignment horizontal="center" vertical="center"/>
    </xf>
    <xf numFmtId="41" fontId="0" fillId="0" borderId="0" xfId="17" applyFont="1" applyFill="1" applyAlignment="1">
      <alignment horizontal="center" vertical="center"/>
    </xf>
    <xf numFmtId="0" fontId="28" fillId="0" borderId="0" xfId="16" applyFont="1">
      <alignment vertical="center"/>
    </xf>
    <xf numFmtId="0" fontId="27" fillId="0" borderId="0" xfId="0" applyFont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14" applyFont="1" applyFill="1" applyAlignment="1">
      <alignment vertical="center" wrapText="1"/>
    </xf>
    <xf numFmtId="41" fontId="0" fillId="0" borderId="0" xfId="14" applyFont="1" applyAlignment="1">
      <alignment vertical="center"/>
    </xf>
    <xf numFmtId="0" fontId="0" fillId="0" borderId="74" xfId="0" applyBorder="1" applyAlignment="1">
      <alignment horizontal="center" vertical="center"/>
    </xf>
    <xf numFmtId="0" fontId="27" fillId="0" borderId="73" xfId="0" applyFont="1" applyBorder="1" applyAlignment="1">
      <alignment horizontal="center" vertical="center"/>
    </xf>
    <xf numFmtId="41" fontId="0" fillId="0" borderId="0" xfId="14" applyFont="1" applyFill="1" applyAlignment="1">
      <alignment horizontal="left" vertical="center"/>
    </xf>
    <xf numFmtId="41" fontId="0" fillId="0" borderId="0" xfId="14" applyFont="1" applyFill="1" applyAlignment="1">
      <alignment vertical="center"/>
    </xf>
    <xf numFmtId="0" fontId="0" fillId="0" borderId="70" xfId="0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41" fontId="0" fillId="0" borderId="0" xfId="14" applyFont="1" applyFill="1" applyAlignment="1">
      <alignment horizontal="center" vertical="center"/>
    </xf>
    <xf numFmtId="41" fontId="0" fillId="0" borderId="0" xfId="14" applyFont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41" fontId="0" fillId="0" borderId="0" xfId="14" applyFont="1" applyBorder="1" applyAlignment="1">
      <alignment vertical="center"/>
    </xf>
    <xf numFmtId="41" fontId="0" fillId="6" borderId="78" xfId="14" applyFont="1" applyFill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83" fontId="0" fillId="0" borderId="0" xfId="14" applyNumberFormat="1" applyFont="1" applyAlignment="1">
      <alignment horizontal="right" vertical="center"/>
    </xf>
    <xf numFmtId="0" fontId="0" fillId="0" borderId="0" xfId="0" applyAlignment="1">
      <alignment horizontal="left" vertical="center"/>
    </xf>
    <xf numFmtId="185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186" fontId="0" fillId="0" borderId="0" xfId="15" applyNumberFormat="1" applyFont="1" applyAlignment="1">
      <alignment horizontal="center" vertical="center"/>
    </xf>
    <xf numFmtId="183" fontId="0" fillId="0" borderId="0" xfId="14" applyNumberFormat="1" applyFont="1" applyAlignment="1">
      <alignment horizontal="center" vertical="center"/>
    </xf>
    <xf numFmtId="41" fontId="28" fillId="0" borderId="0" xfId="17" applyFont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1" fontId="28" fillId="0" borderId="0" xfId="14" applyFont="1" applyAlignment="1">
      <alignment horizontal="right" vertical="center"/>
    </xf>
    <xf numFmtId="41" fontId="9" fillId="4" borderId="32" xfId="2" applyFont="1" applyFill="1" applyBorder="1" applyAlignment="1">
      <alignment vertical="center"/>
    </xf>
    <xf numFmtId="41" fontId="9" fillId="0" borderId="0" xfId="2" applyFont="1" applyFill="1" applyAlignment="1">
      <alignment vertical="center" shrinkToFit="1"/>
    </xf>
    <xf numFmtId="177" fontId="9" fillId="0" borderId="22" xfId="2" applyNumberFormat="1" applyFont="1" applyBorder="1" applyAlignment="1">
      <alignment vertical="center"/>
    </xf>
    <xf numFmtId="177" fontId="9" fillId="0" borderId="22" xfId="2" applyNumberFormat="1" applyFont="1" applyFill="1" applyBorder="1" applyAlignment="1">
      <alignment vertical="center"/>
    </xf>
    <xf numFmtId="178" fontId="9" fillId="0" borderId="0" xfId="2" applyNumberFormat="1" applyFont="1" applyBorder="1" applyAlignment="1">
      <alignment vertical="center"/>
    </xf>
    <xf numFmtId="177" fontId="9" fillId="0" borderId="0" xfId="2" applyNumberFormat="1" applyFont="1" applyBorder="1" applyAlignment="1">
      <alignment vertical="center"/>
    </xf>
    <xf numFmtId="182" fontId="9" fillId="0" borderId="0" xfId="14" applyNumberFormat="1" applyFont="1" applyFill="1" applyBorder="1" applyAlignment="1">
      <alignment vertical="center" shrinkToFit="1"/>
    </xf>
    <xf numFmtId="41" fontId="20" fillId="2" borderId="25" xfId="2" applyFont="1" applyFill="1" applyBorder="1" applyAlignment="1">
      <alignment vertical="center"/>
    </xf>
    <xf numFmtId="41" fontId="20" fillId="0" borderId="32" xfId="2" applyFont="1" applyBorder="1" applyAlignment="1">
      <alignment vertical="center"/>
    </xf>
    <xf numFmtId="41" fontId="9" fillId="0" borderId="19" xfId="2" applyFont="1" applyFill="1" applyBorder="1" applyAlignment="1">
      <alignment vertical="center"/>
    </xf>
    <xf numFmtId="41" fontId="9" fillId="10" borderId="17" xfId="2" applyFont="1" applyFill="1" applyBorder="1" applyAlignment="1">
      <alignment vertical="center"/>
    </xf>
    <xf numFmtId="41" fontId="9" fillId="10" borderId="25" xfId="2" applyFont="1" applyFill="1" applyBorder="1" applyAlignment="1">
      <alignment vertical="center"/>
    </xf>
    <xf numFmtId="41" fontId="9" fillId="0" borderId="61" xfId="2" applyFont="1" applyFill="1" applyBorder="1" applyAlignment="1">
      <alignment vertical="center"/>
    </xf>
    <xf numFmtId="41" fontId="9" fillId="0" borderId="0" xfId="1" applyNumberFormat="1" applyFont="1" applyAlignment="1">
      <alignment vertical="center" shrinkToFit="1"/>
    </xf>
    <xf numFmtId="41" fontId="20" fillId="0" borderId="3" xfId="2" applyFont="1" applyFill="1" applyBorder="1" applyAlignment="1">
      <alignment vertical="center"/>
    </xf>
    <xf numFmtId="41" fontId="20" fillId="0" borderId="11" xfId="2" applyFont="1" applyFill="1" applyBorder="1" applyAlignment="1">
      <alignment vertical="center"/>
    </xf>
    <xf numFmtId="41" fontId="9" fillId="0" borderId="0" xfId="2" applyFont="1" applyFill="1" applyAlignment="1">
      <alignment vertical="center"/>
    </xf>
    <xf numFmtId="41" fontId="20" fillId="0" borderId="12" xfId="2" applyFont="1" applyFill="1" applyBorder="1" applyAlignment="1">
      <alignment vertical="center"/>
    </xf>
    <xf numFmtId="41" fontId="22" fillId="0" borderId="0" xfId="16" applyNumberFormat="1">
      <alignment vertical="center"/>
    </xf>
    <xf numFmtId="43" fontId="22" fillId="0" borderId="0" xfId="16" applyNumberFormat="1">
      <alignment vertical="center"/>
    </xf>
    <xf numFmtId="180" fontId="22" fillId="0" borderId="0" xfId="16" applyNumberFormat="1">
      <alignment vertical="center"/>
    </xf>
    <xf numFmtId="3" fontId="22" fillId="0" borderId="0" xfId="16" applyNumberFormat="1">
      <alignment vertical="center"/>
    </xf>
    <xf numFmtId="3" fontId="22" fillId="0" borderId="0" xfId="16" applyNumberFormat="1" applyAlignment="1">
      <alignment horizontal="center" vertical="center"/>
    </xf>
    <xf numFmtId="182" fontId="22" fillId="0" borderId="0" xfId="16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41" fontId="0" fillId="0" borderId="0" xfId="17" applyFont="1" applyFill="1" applyBorder="1" applyAlignment="1">
      <alignment horizontal="center" vertical="center"/>
    </xf>
    <xf numFmtId="41" fontId="9" fillId="0" borderId="88" xfId="2" applyFont="1" applyBorder="1" applyAlignment="1">
      <alignment vertical="center"/>
    </xf>
    <xf numFmtId="41" fontId="9" fillId="0" borderId="89" xfId="2" applyFont="1" applyFill="1" applyBorder="1" applyAlignment="1">
      <alignment vertical="center"/>
    </xf>
    <xf numFmtId="9" fontId="0" fillId="0" borderId="0" xfId="0" applyNumberFormat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0" fillId="0" borderId="75" xfId="0" applyNumberFormat="1" applyBorder="1" applyAlignment="1">
      <alignment horizontal="center" vertical="center"/>
    </xf>
    <xf numFmtId="41" fontId="0" fillId="0" borderId="90" xfId="14" applyFont="1" applyBorder="1" applyAlignment="1">
      <alignment vertical="center"/>
    </xf>
    <xf numFmtId="0" fontId="0" fillId="0" borderId="90" xfId="0" applyBorder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41" fontId="20" fillId="2" borderId="88" xfId="2" applyFont="1" applyFill="1" applyBorder="1" applyAlignment="1">
      <alignment vertical="center"/>
    </xf>
    <xf numFmtId="0" fontId="47" fillId="0" borderId="0" xfId="0" applyFont="1" applyAlignment="1">
      <alignment horizontal="center" vertical="center"/>
    </xf>
    <xf numFmtId="183" fontId="0" fillId="0" borderId="0" xfId="17" applyNumberFormat="1" applyFont="1" applyAlignment="1">
      <alignment horizontal="center" vertical="center"/>
    </xf>
    <xf numFmtId="181" fontId="48" fillId="0" borderId="0" xfId="1" applyNumberFormat="1" applyFont="1" applyAlignment="1">
      <alignment vertical="center" shrinkToFit="1"/>
    </xf>
    <xf numFmtId="182" fontId="9" fillId="0" borderId="0" xfId="14" applyNumberFormat="1" applyFont="1" applyFill="1" applyAlignment="1">
      <alignment vertical="center" shrinkToFit="1"/>
    </xf>
    <xf numFmtId="190" fontId="0" fillId="4" borderId="0" xfId="0" applyNumberFormat="1" applyFill="1" applyAlignment="1" applyProtection="1">
      <alignment vertical="top"/>
      <protection locked="0"/>
    </xf>
    <xf numFmtId="0" fontId="0" fillId="42" borderId="0" xfId="0" applyFill="1" applyAlignment="1" applyProtection="1">
      <alignment horizontal="center" vertical="center"/>
      <protection locked="0"/>
    </xf>
    <xf numFmtId="41" fontId="9" fillId="0" borderId="91" xfId="2" applyFont="1" applyFill="1" applyBorder="1" applyAlignment="1">
      <alignment vertical="center"/>
    </xf>
    <xf numFmtId="0" fontId="49" fillId="0" borderId="0" xfId="1" applyFont="1" applyAlignment="1">
      <alignment horizontal="center" vertical="center"/>
    </xf>
    <xf numFmtId="191" fontId="49" fillId="4" borderId="0" xfId="1" applyNumberFormat="1" applyFont="1" applyFill="1" applyAlignment="1">
      <alignment horizontal="center" vertical="center"/>
    </xf>
    <xf numFmtId="177" fontId="9" fillId="0" borderId="0" xfId="2" applyNumberFormat="1" applyFont="1" applyFill="1" applyBorder="1" applyAlignment="1">
      <alignment vertical="center" shrinkToFit="1"/>
    </xf>
    <xf numFmtId="41" fontId="0" fillId="0" borderId="0" xfId="14" applyFont="1" applyFill="1" applyBorder="1" applyAlignment="1">
      <alignment horizontal="center" vertical="center"/>
    </xf>
    <xf numFmtId="41" fontId="0" fillId="0" borderId="0" xfId="14" applyFont="1" applyFill="1" applyBorder="1" applyAlignment="1">
      <alignment horizontal="left" vertical="center"/>
    </xf>
    <xf numFmtId="41" fontId="0" fillId="0" borderId="0" xfId="14" applyFont="1" applyFill="1" applyBorder="1" applyAlignment="1">
      <alignment vertical="center" wrapText="1"/>
    </xf>
    <xf numFmtId="41" fontId="0" fillId="0" borderId="0" xfId="14" applyFont="1" applyFill="1" applyBorder="1" applyAlignment="1">
      <alignment vertical="center"/>
    </xf>
    <xf numFmtId="41" fontId="0" fillId="0" borderId="0" xfId="17" applyFont="1" applyBorder="1" applyAlignment="1">
      <alignment horizontal="center" vertical="center"/>
    </xf>
    <xf numFmtId="0" fontId="22" fillId="0" borderId="92" xfId="16" applyBorder="1" applyAlignment="1">
      <alignment horizontal="center" vertical="center"/>
    </xf>
    <xf numFmtId="0" fontId="22" fillId="0" borderId="93" xfId="16" applyBorder="1" applyAlignment="1">
      <alignment horizontal="center" vertical="center"/>
    </xf>
    <xf numFmtId="41" fontId="0" fillId="0" borderId="94" xfId="17" applyFont="1" applyBorder="1" applyAlignment="1">
      <alignment horizontal="center" vertical="center"/>
    </xf>
    <xf numFmtId="0" fontId="22" fillId="0" borderId="95" xfId="16" applyBorder="1" applyAlignment="1">
      <alignment horizontal="center" vertical="center"/>
    </xf>
    <xf numFmtId="41" fontId="0" fillId="0" borderId="96" xfId="17" applyFont="1" applyBorder="1" applyAlignment="1">
      <alignment horizontal="center" vertical="center"/>
    </xf>
    <xf numFmtId="0" fontId="22" fillId="0" borderId="97" xfId="16" applyBorder="1" applyAlignment="1">
      <alignment horizontal="center" vertical="center"/>
    </xf>
    <xf numFmtId="0" fontId="22" fillId="0" borderId="98" xfId="16" applyBorder="1" applyAlignment="1">
      <alignment horizontal="center" vertical="center"/>
    </xf>
    <xf numFmtId="41" fontId="0" fillId="0" borderId="99" xfId="17" applyFont="1" applyBorder="1" applyAlignment="1">
      <alignment horizontal="center" vertical="center"/>
    </xf>
    <xf numFmtId="191" fontId="9" fillId="0" borderId="0" xfId="1" applyNumberFormat="1" applyFont="1" applyAlignment="1">
      <alignment vertical="center"/>
    </xf>
    <xf numFmtId="177" fontId="9" fillId="43" borderId="0" xfId="2" applyNumberFormat="1" applyFont="1" applyFill="1" applyBorder="1" applyAlignment="1">
      <alignment vertical="center"/>
    </xf>
    <xf numFmtId="41" fontId="0" fillId="44" borderId="75" xfId="17" applyFont="1" applyFill="1" applyBorder="1" applyAlignment="1">
      <alignment horizontal="center" vertical="center"/>
    </xf>
    <xf numFmtId="41" fontId="0" fillId="44" borderId="96" xfId="17" applyFont="1" applyFill="1" applyBorder="1" applyAlignment="1">
      <alignment horizontal="center" vertical="center"/>
    </xf>
    <xf numFmtId="0" fontId="25" fillId="0" borderId="0" xfId="16" applyFont="1" applyAlignment="1">
      <alignment horizontal="center" vertical="center"/>
    </xf>
    <xf numFmtId="182" fontId="9" fillId="0" borderId="0" xfId="2" applyNumberFormat="1" applyFont="1" applyFill="1" applyAlignment="1">
      <alignment vertical="center" shrinkToFit="1"/>
    </xf>
    <xf numFmtId="0" fontId="9" fillId="0" borderId="0" xfId="1" applyFont="1" applyAlignment="1">
      <alignment vertical="center" wrapText="1" shrinkToFit="1"/>
    </xf>
    <xf numFmtId="41" fontId="9" fillId="0" borderId="0" xfId="14" applyFont="1" applyFill="1" applyAlignment="1">
      <alignment vertical="center" shrinkToFit="1"/>
    </xf>
    <xf numFmtId="181" fontId="9" fillId="6" borderId="0" xfId="1" applyNumberFormat="1" applyFont="1" applyFill="1" applyAlignment="1">
      <alignment vertical="center" shrinkToFit="1"/>
    </xf>
    <xf numFmtId="182" fontId="25" fillId="0" borderId="0" xfId="16" applyNumberFormat="1" applyFont="1" applyAlignment="1">
      <alignment horizontal="center" vertical="center"/>
    </xf>
    <xf numFmtId="190" fontId="25" fillId="4" borderId="0" xfId="0" applyNumberFormat="1" applyFont="1" applyFill="1" applyAlignment="1" applyProtection="1">
      <alignment horizontal="center" vertical="top"/>
      <protection locked="0"/>
    </xf>
    <xf numFmtId="182" fontId="43" fillId="0" borderId="0" xfId="0" applyNumberFormat="1" applyFont="1" applyAlignment="1">
      <alignment horizontal="center" vertical="center"/>
    </xf>
    <xf numFmtId="41" fontId="0" fillId="4" borderId="75" xfId="17" applyFont="1" applyFill="1" applyBorder="1" applyAlignment="1">
      <alignment horizontal="center" vertical="center"/>
    </xf>
    <xf numFmtId="41" fontId="0" fillId="0" borderId="0" xfId="14" applyFont="1" applyFill="1" applyBorder="1" applyAlignment="1">
      <alignment horizontal="left" vertical="center"/>
    </xf>
    <xf numFmtId="41" fontId="0" fillId="0" borderId="0" xfId="14" applyFont="1" applyFill="1" applyBorder="1" applyAlignment="1">
      <alignment horizontal="left" vertical="center" shrinkToFit="1"/>
    </xf>
    <xf numFmtId="41" fontId="9" fillId="0" borderId="29" xfId="2" applyFont="1" applyBorder="1" applyAlignment="1">
      <alignment horizontal="center" vertical="center"/>
    </xf>
    <xf numFmtId="41" fontId="9" fillId="0" borderId="9" xfId="2" applyFont="1" applyBorder="1" applyAlignment="1">
      <alignment horizontal="center" vertical="center"/>
    </xf>
    <xf numFmtId="176" fontId="9" fillId="0" borderId="66" xfId="2" applyNumberFormat="1" applyFont="1" applyBorder="1" applyAlignment="1">
      <alignment vertical="center"/>
    </xf>
    <xf numFmtId="176" fontId="9" fillId="0" borderId="15" xfId="2" applyNumberFormat="1" applyFont="1" applyBorder="1" applyAlignment="1">
      <alignment vertical="center"/>
    </xf>
    <xf numFmtId="176" fontId="9" fillId="0" borderId="56" xfId="2" applyNumberFormat="1" applyFont="1" applyBorder="1" applyAlignment="1">
      <alignment vertical="center"/>
    </xf>
    <xf numFmtId="176" fontId="9" fillId="0" borderId="51" xfId="2" applyNumberFormat="1" applyFont="1" applyBorder="1" applyAlignment="1">
      <alignment vertical="center"/>
    </xf>
    <xf numFmtId="176" fontId="9" fillId="0" borderId="35" xfId="2" applyNumberFormat="1" applyFont="1" applyBorder="1" applyAlignment="1">
      <alignment vertical="center"/>
    </xf>
    <xf numFmtId="176" fontId="9" fillId="0" borderId="14" xfId="2" applyNumberFormat="1" applyFont="1" applyBorder="1" applyAlignment="1">
      <alignment vertical="center"/>
    </xf>
    <xf numFmtId="177" fontId="9" fillId="0" borderId="31" xfId="2" applyNumberFormat="1" applyFont="1" applyFill="1" applyBorder="1" applyAlignment="1">
      <alignment vertical="center"/>
    </xf>
    <xf numFmtId="177" fontId="9" fillId="0" borderId="10" xfId="2" applyNumberFormat="1" applyFont="1" applyFill="1" applyBorder="1" applyAlignment="1">
      <alignment vertical="center"/>
    </xf>
    <xf numFmtId="176" fontId="9" fillId="0" borderId="58" xfId="2" applyNumberFormat="1" applyFont="1" applyBorder="1" applyAlignment="1">
      <alignment vertical="center"/>
    </xf>
    <xf numFmtId="177" fontId="9" fillId="0" borderId="22" xfId="2" applyNumberFormat="1" applyFont="1" applyFill="1" applyBorder="1" applyAlignment="1">
      <alignment vertical="center"/>
    </xf>
    <xf numFmtId="176" fontId="9" fillId="0" borderId="67" xfId="2" applyNumberFormat="1" applyFont="1" applyBorder="1" applyAlignment="1">
      <alignment vertical="center"/>
    </xf>
    <xf numFmtId="176" fontId="9" fillId="0" borderId="26" xfId="2" applyNumberFormat="1" applyFont="1" applyBorder="1" applyAlignment="1">
      <alignment vertical="center"/>
    </xf>
    <xf numFmtId="41" fontId="9" fillId="0" borderId="36" xfId="2" applyFont="1" applyBorder="1" applyAlignment="1">
      <alignment horizontal="center" vertical="center"/>
    </xf>
    <xf numFmtId="41" fontId="9" fillId="0" borderId="21" xfId="2" applyFont="1" applyBorder="1" applyAlignment="1">
      <alignment horizontal="center" vertical="center"/>
    </xf>
    <xf numFmtId="176" fontId="9" fillId="0" borderId="66" xfId="2" applyNumberFormat="1" applyFont="1" applyFill="1" applyBorder="1" applyAlignment="1">
      <alignment vertical="center"/>
    </xf>
    <xf numFmtId="176" fontId="9" fillId="0" borderId="67" xfId="2" applyNumberFormat="1" applyFont="1" applyFill="1" applyBorder="1" applyAlignment="1">
      <alignment vertical="center"/>
    </xf>
    <xf numFmtId="176" fontId="9" fillId="0" borderId="53" xfId="2" applyNumberFormat="1" applyFont="1" applyFill="1" applyBorder="1" applyAlignment="1">
      <alignment horizontal="center" vertical="center"/>
    </xf>
    <xf numFmtId="176" fontId="9" fillId="0" borderId="55" xfId="2" applyNumberFormat="1" applyFont="1" applyFill="1" applyBorder="1" applyAlignment="1">
      <alignment horizontal="center" vertical="center"/>
    </xf>
    <xf numFmtId="176" fontId="9" fillId="0" borderId="60" xfId="2" applyNumberFormat="1" applyFont="1" applyFill="1" applyBorder="1" applyAlignment="1">
      <alignment horizontal="center" vertical="center"/>
    </xf>
    <xf numFmtId="176" fontId="9" fillId="0" borderId="62" xfId="2" applyNumberFormat="1" applyFont="1" applyFill="1" applyBorder="1" applyAlignment="1">
      <alignment horizontal="center" vertical="center"/>
    </xf>
    <xf numFmtId="176" fontId="9" fillId="0" borderId="20" xfId="2" applyNumberFormat="1" applyFont="1" applyBorder="1" applyAlignment="1">
      <alignment horizontal="center" vertical="center"/>
    </xf>
    <xf numFmtId="176" fontId="9" fillId="0" borderId="28" xfId="2" applyNumberFormat="1" applyFont="1" applyBorder="1" applyAlignment="1">
      <alignment horizontal="center" vertical="center"/>
    </xf>
    <xf numFmtId="176" fontId="9" fillId="0" borderId="53" xfId="2" applyNumberFormat="1" applyFont="1" applyBorder="1" applyAlignment="1">
      <alignment horizontal="center" vertical="center"/>
    </xf>
    <xf numFmtId="176" fontId="9" fillId="0" borderId="55" xfId="2" applyNumberFormat="1" applyFont="1" applyBorder="1" applyAlignment="1">
      <alignment horizontal="center" vertical="center"/>
    </xf>
    <xf numFmtId="176" fontId="9" fillId="0" borderId="56" xfId="2" applyNumberFormat="1" applyFont="1" applyFill="1" applyBorder="1" applyAlignment="1">
      <alignment vertical="center"/>
    </xf>
    <xf numFmtId="176" fontId="9" fillId="0" borderId="58" xfId="2" applyNumberFormat="1" applyFont="1" applyFill="1" applyBorder="1" applyAlignment="1">
      <alignment vertical="center"/>
    </xf>
    <xf numFmtId="41" fontId="9" fillId="0" borderId="2" xfId="2" applyFont="1" applyFill="1" applyBorder="1" applyAlignment="1">
      <alignment horizontal="center" vertical="center"/>
    </xf>
    <xf numFmtId="41" fontId="9" fillId="0" borderId="10" xfId="2" applyFont="1" applyFill="1" applyBorder="1" applyAlignment="1">
      <alignment horizontal="center" vertical="center"/>
    </xf>
    <xf numFmtId="41" fontId="9" fillId="0" borderId="1" xfId="2" applyFont="1" applyFill="1" applyBorder="1" applyAlignment="1">
      <alignment horizontal="center" vertical="center"/>
    </xf>
    <xf numFmtId="41" fontId="9" fillId="0" borderId="9" xfId="2" applyFont="1" applyFill="1" applyBorder="1" applyAlignment="1">
      <alignment horizontal="center" vertical="center"/>
    </xf>
    <xf numFmtId="187" fontId="9" fillId="0" borderId="49" xfId="2" applyNumberFormat="1" applyFont="1" applyFill="1" applyBorder="1" applyAlignment="1">
      <alignment horizontal="center" vertical="center"/>
    </xf>
    <xf numFmtId="41" fontId="9" fillId="0" borderId="8" xfId="2" applyFont="1" applyFill="1" applyBorder="1" applyAlignment="1">
      <alignment horizontal="center" vertical="center"/>
    </xf>
    <xf numFmtId="188" fontId="9" fillId="0" borderId="50" xfId="2" applyNumberFormat="1" applyFont="1" applyFill="1" applyBorder="1" applyAlignment="1">
      <alignment horizontal="center" vertical="center"/>
    </xf>
    <xf numFmtId="41" fontId="9" fillId="0" borderId="6" xfId="2" applyFont="1" applyFill="1" applyBorder="1" applyAlignment="1">
      <alignment horizontal="center" vertical="center"/>
    </xf>
    <xf numFmtId="189" fontId="9" fillId="0" borderId="49" xfId="2" applyNumberFormat="1" applyFont="1" applyFill="1" applyBorder="1" applyAlignment="1">
      <alignment horizontal="center" vertical="center"/>
    </xf>
    <xf numFmtId="41" fontId="9" fillId="0" borderId="7" xfId="2" applyFont="1" applyFill="1" applyBorder="1" applyAlignment="1">
      <alignment horizontal="center" vertical="center"/>
    </xf>
    <xf numFmtId="41" fontId="20" fillId="0" borderId="42" xfId="2" applyFont="1" applyFill="1" applyBorder="1" applyAlignment="1">
      <alignment horizontal="center" vertical="center"/>
    </xf>
    <xf numFmtId="41" fontId="20" fillId="0" borderId="43" xfId="2" applyFont="1" applyFill="1" applyBorder="1" applyAlignment="1">
      <alignment horizontal="center" vertical="center"/>
    </xf>
    <xf numFmtId="41" fontId="20" fillId="0" borderId="41" xfId="2" applyFont="1" applyFill="1" applyBorder="1" applyAlignment="1">
      <alignment horizontal="center" vertical="center"/>
    </xf>
    <xf numFmtId="41" fontId="20" fillId="0" borderId="44" xfId="2" applyFont="1" applyFill="1" applyBorder="1" applyAlignment="1">
      <alignment horizontal="center" vertical="center"/>
    </xf>
    <xf numFmtId="179" fontId="9" fillId="4" borderId="45" xfId="1" applyNumberFormat="1" applyFont="1" applyFill="1" applyBorder="1" applyAlignment="1">
      <alignment horizontal="center" vertical="center"/>
    </xf>
    <xf numFmtId="179" fontId="9" fillId="4" borderId="44" xfId="1" applyNumberFormat="1" applyFont="1" applyFill="1" applyBorder="1" applyAlignment="1">
      <alignment horizontal="center" vertical="center"/>
    </xf>
    <xf numFmtId="0" fontId="9" fillId="0" borderId="45" xfId="1" applyFont="1" applyBorder="1" applyAlignment="1">
      <alignment horizontal="center" vertical="center"/>
    </xf>
    <xf numFmtId="0" fontId="9" fillId="0" borderId="43" xfId="1" applyFont="1" applyBorder="1" applyAlignment="1">
      <alignment horizontal="center" vertical="center"/>
    </xf>
    <xf numFmtId="3" fontId="20" fillId="0" borderId="47" xfId="1" applyNumberFormat="1" applyFont="1" applyBorder="1" applyAlignment="1">
      <alignment horizontal="center" vertical="center"/>
    </xf>
    <xf numFmtId="3" fontId="20" fillId="0" borderId="37" xfId="1" applyNumberFormat="1" applyFont="1" applyBorder="1" applyAlignment="1">
      <alignment horizontal="center" vertical="center"/>
    </xf>
    <xf numFmtId="0" fontId="10" fillId="0" borderId="65" xfId="1" applyFont="1" applyBorder="1" applyAlignment="1">
      <alignment horizontal="center" vertical="center"/>
    </xf>
    <xf numFmtId="176" fontId="9" fillId="0" borderId="63" xfId="2" applyNumberFormat="1" applyFont="1" applyBorder="1" applyAlignment="1">
      <alignment vertical="center"/>
    </xf>
    <xf numFmtId="176" fontId="9" fillId="0" borderId="64" xfId="2" applyNumberFormat="1" applyFont="1" applyBorder="1" applyAlignment="1">
      <alignment vertical="center"/>
    </xf>
    <xf numFmtId="176" fontId="9" fillId="0" borderId="33" xfId="2" applyNumberFormat="1" applyFont="1" applyBorder="1" applyAlignment="1">
      <alignment vertical="center"/>
    </xf>
    <xf numFmtId="176" fontId="9" fillId="0" borderId="39" xfId="2" applyNumberFormat="1" applyFont="1" applyBorder="1" applyAlignment="1">
      <alignment vertical="center"/>
    </xf>
    <xf numFmtId="176" fontId="9" fillId="0" borderId="51" xfId="2" applyNumberFormat="1" applyFont="1" applyFill="1" applyBorder="1" applyAlignment="1">
      <alignment vertical="center"/>
    </xf>
    <xf numFmtId="41" fontId="9" fillId="0" borderId="29" xfId="2" applyFont="1" applyBorder="1" applyAlignment="1">
      <alignment horizontal="center" vertical="center" wrapText="1"/>
    </xf>
    <xf numFmtId="41" fontId="9" fillId="0" borderId="36" xfId="2" applyFont="1" applyBorder="1" applyAlignment="1">
      <alignment horizontal="center" vertical="center" wrapText="1"/>
    </xf>
    <xf numFmtId="41" fontId="9" fillId="0" borderId="9" xfId="2" applyFont="1" applyBorder="1" applyAlignment="1">
      <alignment horizontal="center" vertical="center" wrapText="1"/>
    </xf>
    <xf numFmtId="176" fontId="9" fillId="0" borderId="62" xfId="2" applyNumberFormat="1" applyFont="1" applyBorder="1" applyAlignment="1">
      <alignment vertical="center"/>
    </xf>
    <xf numFmtId="176" fontId="9" fillId="0" borderId="28" xfId="2" applyNumberFormat="1" applyFont="1" applyBorder="1" applyAlignment="1">
      <alignment vertical="center"/>
    </xf>
    <xf numFmtId="176" fontId="9" fillId="0" borderId="63" xfId="2" applyNumberFormat="1" applyFont="1" applyFill="1" applyBorder="1" applyAlignment="1">
      <alignment vertical="center"/>
    </xf>
    <xf numFmtId="176" fontId="9" fillId="0" borderId="62" xfId="2" applyNumberFormat="1" applyFont="1" applyFill="1" applyBorder="1" applyAlignment="1">
      <alignment vertical="center"/>
    </xf>
    <xf numFmtId="176" fontId="9" fillId="0" borderId="33" xfId="2" applyNumberFormat="1" applyFont="1" applyFill="1" applyBorder="1" applyAlignment="1">
      <alignment vertical="center"/>
    </xf>
    <xf numFmtId="176" fontId="9" fillId="0" borderId="28" xfId="2" applyNumberFormat="1" applyFont="1" applyFill="1" applyBorder="1" applyAlignment="1">
      <alignment vertical="center"/>
    </xf>
    <xf numFmtId="178" fontId="9" fillId="0" borderId="31" xfId="2" applyNumberFormat="1" applyFont="1" applyFill="1" applyBorder="1" applyAlignment="1">
      <alignment vertical="center"/>
    </xf>
    <xf numFmtId="178" fontId="9" fillId="0" borderId="22" xfId="2" applyNumberFormat="1" applyFont="1" applyFill="1" applyBorder="1" applyAlignment="1">
      <alignment vertical="center"/>
    </xf>
    <xf numFmtId="178" fontId="9" fillId="3" borderId="63" xfId="2" applyNumberFormat="1" applyFont="1" applyFill="1" applyBorder="1" applyAlignment="1">
      <alignment vertical="center"/>
    </xf>
    <xf numFmtId="178" fontId="9" fillId="3" borderId="62" xfId="2" applyNumberFormat="1" applyFont="1" applyFill="1" applyBorder="1" applyAlignment="1">
      <alignment vertical="center"/>
    </xf>
    <xf numFmtId="178" fontId="9" fillId="3" borderId="33" xfId="2" applyNumberFormat="1" applyFont="1" applyFill="1" applyBorder="1" applyAlignment="1">
      <alignment vertical="center"/>
    </xf>
    <xf numFmtId="178" fontId="9" fillId="3" borderId="28" xfId="2" applyNumberFormat="1" applyFont="1" applyFill="1" applyBorder="1" applyAlignment="1">
      <alignment vertical="center"/>
    </xf>
    <xf numFmtId="178" fontId="9" fillId="0" borderId="70" xfId="2" applyNumberFormat="1" applyFont="1" applyFill="1" applyBorder="1" applyAlignment="1">
      <alignment vertical="center"/>
    </xf>
    <xf numFmtId="178" fontId="9" fillId="0" borderId="55" xfId="2" applyNumberFormat="1" applyFont="1" applyFill="1" applyBorder="1" applyAlignment="1">
      <alignment vertical="center"/>
    </xf>
    <xf numFmtId="41" fontId="9" fillId="0" borderId="21" xfId="2" applyFont="1" applyBorder="1" applyAlignment="1">
      <alignment horizontal="center" vertical="center" wrapText="1"/>
    </xf>
    <xf numFmtId="178" fontId="9" fillId="0" borderId="63" xfId="2" applyNumberFormat="1" applyFont="1" applyBorder="1" applyAlignment="1">
      <alignment vertical="center"/>
    </xf>
    <xf numFmtId="178" fontId="9" fillId="0" borderId="62" xfId="2" applyNumberFormat="1" applyFont="1" applyBorder="1" applyAlignment="1">
      <alignment vertical="center"/>
    </xf>
    <xf numFmtId="178" fontId="9" fillId="0" borderId="33" xfId="2" applyNumberFormat="1" applyFont="1" applyBorder="1" applyAlignment="1">
      <alignment vertical="center"/>
    </xf>
    <xf numFmtId="178" fontId="9" fillId="0" borderId="28" xfId="2" applyNumberFormat="1" applyFont="1" applyBorder="1" applyAlignment="1">
      <alignment vertical="center"/>
    </xf>
    <xf numFmtId="178" fontId="9" fillId="0" borderId="66" xfId="2" applyNumberFormat="1" applyFont="1" applyFill="1" applyBorder="1" applyAlignment="1">
      <alignment vertical="center"/>
    </xf>
    <xf numFmtId="178" fontId="9" fillId="0" borderId="67" xfId="2" applyNumberFormat="1" applyFont="1" applyFill="1" applyBorder="1" applyAlignment="1">
      <alignment vertical="center"/>
    </xf>
    <xf numFmtId="176" fontId="9" fillId="0" borderId="69" xfId="2" applyNumberFormat="1" applyFont="1" applyFill="1" applyBorder="1" applyAlignment="1">
      <alignment vertical="center"/>
    </xf>
    <xf numFmtId="176" fontId="9" fillId="0" borderId="55" xfId="2" applyNumberFormat="1" applyFont="1" applyFill="1" applyBorder="1" applyAlignment="1">
      <alignment vertical="center"/>
    </xf>
    <xf numFmtId="41" fontId="9" fillId="0" borderId="1" xfId="2" applyFont="1" applyBorder="1" applyAlignment="1">
      <alignment horizontal="center" vertical="center"/>
    </xf>
    <xf numFmtId="178" fontId="9" fillId="0" borderId="60" xfId="2" applyNumberFormat="1" applyFont="1" applyBorder="1" applyAlignment="1">
      <alignment vertical="center"/>
    </xf>
    <xf numFmtId="178" fontId="9" fillId="0" borderId="20" xfId="2" applyNumberFormat="1" applyFont="1" applyBorder="1" applyAlignment="1">
      <alignment vertical="center"/>
    </xf>
    <xf numFmtId="178" fontId="9" fillId="0" borderId="68" xfId="2" applyNumberFormat="1" applyFont="1" applyBorder="1" applyAlignment="1">
      <alignment vertical="center"/>
    </xf>
    <xf numFmtId="178" fontId="9" fillId="0" borderId="67" xfId="2" applyNumberFormat="1" applyFont="1" applyBorder="1" applyAlignment="1">
      <alignment vertical="center"/>
    </xf>
    <xf numFmtId="178" fontId="9" fillId="0" borderId="2" xfId="2" applyNumberFormat="1" applyFont="1" applyFill="1" applyBorder="1" applyAlignment="1">
      <alignment vertical="center"/>
    </xf>
    <xf numFmtId="187" fontId="9" fillId="0" borderId="6" xfId="2" applyNumberFormat="1" applyFont="1" applyFill="1" applyBorder="1" applyAlignment="1">
      <alignment horizontal="center" vertical="center"/>
    </xf>
    <xf numFmtId="188" fontId="9" fillId="0" borderId="7" xfId="2" applyNumberFormat="1" applyFont="1" applyFill="1" applyBorder="1" applyAlignment="1">
      <alignment horizontal="center" vertical="center"/>
    </xf>
    <xf numFmtId="189" fontId="9" fillId="0" borderId="7" xfId="2" applyNumberFormat="1" applyFont="1" applyFill="1" applyBorder="1" applyAlignment="1">
      <alignment horizontal="center" vertical="center"/>
    </xf>
    <xf numFmtId="177" fontId="9" fillId="0" borderId="31" xfId="2" applyNumberFormat="1" applyFont="1" applyBorder="1" applyAlignment="1">
      <alignment vertical="center"/>
    </xf>
    <xf numFmtId="177" fontId="9" fillId="0" borderId="22" xfId="2" applyNumberFormat="1" applyFont="1" applyBorder="1" applyAlignment="1">
      <alignment vertical="center"/>
    </xf>
    <xf numFmtId="41" fontId="9" fillId="0" borderId="49" xfId="2" applyFont="1" applyFill="1" applyBorder="1" applyAlignment="1">
      <alignment horizontal="center" vertical="center"/>
    </xf>
    <xf numFmtId="176" fontId="9" fillId="0" borderId="60" xfId="2" applyNumberFormat="1" applyFont="1" applyBorder="1" applyAlignment="1">
      <alignment horizontal="center" vertical="center"/>
    </xf>
    <xf numFmtId="176" fontId="9" fillId="0" borderId="62" xfId="2" applyNumberFormat="1" applyFont="1" applyBorder="1" applyAlignment="1">
      <alignment horizontal="center" vertical="center"/>
    </xf>
    <xf numFmtId="177" fontId="9" fillId="0" borderId="10" xfId="2" applyNumberFormat="1" applyFont="1" applyBorder="1" applyAlignment="1">
      <alignment vertical="center"/>
    </xf>
    <xf numFmtId="178" fontId="9" fillId="0" borderId="70" xfId="2" applyNumberFormat="1" applyFont="1" applyBorder="1" applyAlignment="1">
      <alignment vertical="center"/>
    </xf>
    <xf numFmtId="178" fontId="9" fillId="0" borderId="55" xfId="2" applyNumberFormat="1" applyFont="1" applyBorder="1" applyAlignment="1">
      <alignment vertical="center"/>
    </xf>
    <xf numFmtId="178" fontId="9" fillId="0" borderId="31" xfId="2" applyNumberFormat="1" applyFont="1" applyBorder="1" applyAlignment="1">
      <alignment vertical="center"/>
    </xf>
    <xf numFmtId="178" fontId="9" fillId="0" borderId="22" xfId="2" applyNumberFormat="1" applyFont="1" applyBorder="1" applyAlignment="1">
      <alignment vertical="center"/>
    </xf>
    <xf numFmtId="41" fontId="9" fillId="0" borderId="16" xfId="2" applyFont="1" applyFill="1" applyBorder="1" applyAlignment="1">
      <alignment horizontal="center" vertical="center"/>
    </xf>
    <xf numFmtId="178" fontId="9" fillId="0" borderId="35" xfId="2" applyNumberFormat="1" applyFont="1" applyBorder="1" applyAlignment="1">
      <alignment vertical="center"/>
    </xf>
    <xf numFmtId="178" fontId="9" fillId="0" borderId="26" xfId="2" applyNumberFormat="1" applyFont="1" applyBorder="1" applyAlignment="1">
      <alignment vertical="center"/>
    </xf>
    <xf numFmtId="178" fontId="9" fillId="0" borderId="66" xfId="2" applyNumberFormat="1" applyFont="1" applyBorder="1" applyAlignment="1">
      <alignment vertical="center"/>
    </xf>
    <xf numFmtId="176" fontId="9" fillId="0" borderId="69" xfId="2" applyNumberFormat="1" applyFont="1" applyBorder="1" applyAlignment="1">
      <alignment vertical="center"/>
    </xf>
    <xf numFmtId="176" fontId="9" fillId="0" borderId="55" xfId="2" applyNumberFormat="1" applyFont="1" applyBorder="1" applyAlignment="1">
      <alignment vertical="center"/>
    </xf>
    <xf numFmtId="178" fontId="9" fillId="0" borderId="63" xfId="2" applyNumberFormat="1" applyFont="1" applyFill="1" applyBorder="1" applyAlignment="1">
      <alignment vertical="center"/>
    </xf>
    <xf numFmtId="178" fontId="9" fillId="0" borderId="62" xfId="2" applyNumberFormat="1" applyFont="1" applyFill="1" applyBorder="1" applyAlignment="1">
      <alignment vertical="center"/>
    </xf>
    <xf numFmtId="178" fontId="9" fillId="3" borderId="35" xfId="2" applyNumberFormat="1" applyFont="1" applyFill="1" applyBorder="1" applyAlignment="1">
      <alignment vertical="center"/>
    </xf>
    <xf numFmtId="178" fontId="9" fillId="3" borderId="26" xfId="2" applyNumberFormat="1" applyFont="1" applyFill="1" applyBorder="1" applyAlignment="1">
      <alignment vertical="center"/>
    </xf>
    <xf numFmtId="178" fontId="9" fillId="4" borderId="60" xfId="2" applyNumberFormat="1" applyFont="1" applyFill="1" applyBorder="1" applyAlignment="1">
      <alignment vertical="center"/>
    </xf>
    <xf numFmtId="178" fontId="9" fillId="4" borderId="62" xfId="2" applyNumberFormat="1" applyFont="1" applyFill="1" applyBorder="1" applyAlignment="1">
      <alignment vertical="center"/>
    </xf>
    <xf numFmtId="178" fontId="9" fillId="0" borderId="20" xfId="2" applyNumberFormat="1" applyFont="1" applyFill="1" applyBorder="1" applyAlignment="1">
      <alignment vertical="center"/>
    </xf>
    <xf numFmtId="178" fontId="9" fillId="0" borderId="28" xfId="2" applyNumberFormat="1" applyFont="1" applyFill="1" applyBorder="1" applyAlignment="1">
      <alignment vertical="center"/>
    </xf>
    <xf numFmtId="178" fontId="9" fillId="0" borderId="18" xfId="2" applyNumberFormat="1" applyFont="1" applyBorder="1" applyAlignment="1">
      <alignment vertical="center"/>
    </xf>
    <xf numFmtId="41" fontId="9" fillId="0" borderId="50" xfId="2" applyFont="1" applyFill="1" applyBorder="1" applyAlignment="1">
      <alignment horizontal="center" vertical="center"/>
    </xf>
    <xf numFmtId="0" fontId="22" fillId="0" borderId="73" xfId="16" applyBorder="1" applyAlignment="1">
      <alignment horizontal="center" vertical="center"/>
    </xf>
    <xf numFmtId="0" fontId="22" fillId="0" borderId="74" xfId="16" applyBorder="1" applyAlignment="1">
      <alignment horizontal="center" vertical="center"/>
    </xf>
    <xf numFmtId="0" fontId="22" fillId="5" borderId="30" xfId="16" applyFill="1" applyBorder="1" applyAlignment="1">
      <alignment horizontal="center" vertical="center"/>
    </xf>
    <xf numFmtId="0" fontId="22" fillId="5" borderId="24" xfId="16" applyFill="1" applyBorder="1" applyAlignment="1">
      <alignment horizontal="center" vertical="center"/>
    </xf>
    <xf numFmtId="0" fontId="22" fillId="7" borderId="73" xfId="16" applyFill="1" applyBorder="1" applyAlignment="1">
      <alignment horizontal="center" vertical="center"/>
    </xf>
    <xf numFmtId="0" fontId="22" fillId="7" borderId="74" xfId="16" applyFill="1" applyBorder="1" applyAlignment="1">
      <alignment horizontal="center" vertical="center"/>
    </xf>
    <xf numFmtId="0" fontId="22" fillId="0" borderId="0" xfId="16" applyAlignment="1">
      <alignment horizontal="center" vertical="center"/>
    </xf>
  </cellXfs>
  <cellStyles count="59">
    <cellStyle name="0,0_x000d__x000a_NA_x000d__x000a_" xfId="4" xr:uid="{00000000-0005-0000-0000-000000000000}"/>
    <cellStyle name="20% - 강조색1" xfId="36" builtinId="30" customBuiltin="1"/>
    <cellStyle name="20% - 강조색2" xfId="40" builtinId="34" customBuiltin="1"/>
    <cellStyle name="20% - 강조색3" xfId="44" builtinId="38" customBuiltin="1"/>
    <cellStyle name="20% - 강조색4" xfId="48" builtinId="42" customBuiltin="1"/>
    <cellStyle name="20% - 강조색5" xfId="52" builtinId="46" customBuiltin="1"/>
    <cellStyle name="20% - 강조색6" xfId="56" builtinId="50" customBuiltin="1"/>
    <cellStyle name="40% - 강조색1" xfId="37" builtinId="31" customBuiltin="1"/>
    <cellStyle name="40% - 강조색2" xfId="41" builtinId="35" customBuiltin="1"/>
    <cellStyle name="40% - 강조색3" xfId="45" builtinId="39" customBuiltin="1"/>
    <cellStyle name="40% - 강조색4" xfId="49" builtinId="43" customBuiltin="1"/>
    <cellStyle name="40% - 강조색5" xfId="53" builtinId="47" customBuiltin="1"/>
    <cellStyle name="40% - 강조색6" xfId="57" builtinId="51" customBuiltin="1"/>
    <cellStyle name="60% - 강조색1" xfId="38" builtinId="32" customBuiltin="1"/>
    <cellStyle name="60% - 강조색2" xfId="42" builtinId="36" customBuiltin="1"/>
    <cellStyle name="60% - 강조색3" xfId="46" builtinId="40" customBuiltin="1"/>
    <cellStyle name="60% - 강조색4" xfId="50" builtinId="44" customBuiltin="1"/>
    <cellStyle name="60% - 강조색5" xfId="54" builtinId="48" customBuiltin="1"/>
    <cellStyle name="60% - 강조색6" xfId="58" builtinId="52" customBuiltin="1"/>
    <cellStyle name="강조색1" xfId="35" builtinId="29" customBuiltin="1"/>
    <cellStyle name="강조색2" xfId="39" builtinId="33" customBuiltin="1"/>
    <cellStyle name="강조색3" xfId="43" builtinId="37" customBuiltin="1"/>
    <cellStyle name="강조색4" xfId="47" builtinId="41" customBuiltin="1"/>
    <cellStyle name="강조색5" xfId="51" builtinId="45" customBuiltin="1"/>
    <cellStyle name="강조색6" xfId="55" builtinId="49" customBuiltin="1"/>
    <cellStyle name="경고문" xfId="31" builtinId="11" customBuiltin="1"/>
    <cellStyle name="계산" xfId="28" builtinId="22" customBuiltin="1"/>
    <cellStyle name="나쁨" xfId="24" builtinId="27" customBuiltin="1"/>
    <cellStyle name="메모" xfId="32" builtinId="10" customBuiltin="1"/>
    <cellStyle name="백분율" xfId="15" builtinId="5"/>
    <cellStyle name="백분율 2" xfId="5" xr:uid="{00000000-0005-0000-0000-000001000000}"/>
    <cellStyle name="백분율 2 2" xfId="11" xr:uid="{00000000-0005-0000-0000-000002000000}"/>
    <cellStyle name="보통" xfId="25" builtinId="28" customBuiltin="1"/>
    <cellStyle name="설명 텍스트" xfId="33" builtinId="53" customBuiltin="1"/>
    <cellStyle name="셀 확인" xfId="30" builtinId="23" customBuiltin="1"/>
    <cellStyle name="쉼표 [0]" xfId="14" builtinId="6"/>
    <cellStyle name="쉼표 [0] 2" xfId="2" xr:uid="{00000000-0005-0000-0000-000004000000}"/>
    <cellStyle name="쉼표 [0] 2 2" xfId="6" xr:uid="{00000000-0005-0000-0000-000005000000}"/>
    <cellStyle name="쉼표 [0] 3" xfId="3" xr:uid="{00000000-0005-0000-0000-000006000000}"/>
    <cellStyle name="쉼표 [0] 4" xfId="17" xr:uid="{56E81456-2AE9-4C6F-9A48-07060C26B0F7}"/>
    <cellStyle name="연결된 셀" xfId="29" builtinId="24" customBuiltin="1"/>
    <cellStyle name="요약" xfId="34" builtinId="25" customBuiltin="1"/>
    <cellStyle name="입력" xfId="26" builtinId="20" customBuiltin="1"/>
    <cellStyle name="제목" xfId="18" builtinId="15" customBuiltin="1"/>
    <cellStyle name="제목 1" xfId="19" builtinId="16" customBuiltin="1"/>
    <cellStyle name="제목 2" xfId="20" builtinId="17" customBuiltin="1"/>
    <cellStyle name="제목 3" xfId="21" builtinId="18" customBuiltin="1"/>
    <cellStyle name="제목 4" xfId="22" builtinId="19" customBuiltin="1"/>
    <cellStyle name="좋음" xfId="23" builtinId="26" customBuiltin="1"/>
    <cellStyle name="출력" xfId="27" builtinId="21" customBuiltin="1"/>
    <cellStyle name="콤마 [0]_노동생산성(NEW)" xfId="12" xr:uid="{00000000-0005-0000-0000-000007000000}"/>
    <cellStyle name="콤마_노동생산성(NEW)" xfId="13" xr:uid="{00000000-0005-0000-0000-000008000000}"/>
    <cellStyle name="표준" xfId="0" builtinId="0"/>
    <cellStyle name="표준 2" xfId="7" xr:uid="{00000000-0005-0000-0000-00000A000000}"/>
    <cellStyle name="표준 2 2" xfId="8" xr:uid="{00000000-0005-0000-0000-00000B000000}"/>
    <cellStyle name="표준 2 3 2" xfId="9" xr:uid="{00000000-0005-0000-0000-00000C000000}"/>
    <cellStyle name="표준 3" xfId="10" xr:uid="{00000000-0005-0000-0000-00000D000000}"/>
    <cellStyle name="표준 4" xfId="16" xr:uid="{4296BCF7-2A04-4836-8E9D-5F50FCD26FF5}"/>
    <cellStyle name="표준_노동생산성-06_2008년 노동생산성_2008년 노동생산성_2008년 노동생산성 2" xfId="1" xr:uid="{00000000-0005-0000-0000-00000E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632460</xdr:colOff>
      <xdr:row>57</xdr:row>
      <xdr:rowOff>0</xdr:rowOff>
    </xdr:from>
    <xdr:to>
      <xdr:col>4</xdr:col>
      <xdr:colOff>125482</xdr:colOff>
      <xdr:row>58</xdr:row>
      <xdr:rowOff>8890</xdr:rowOff>
    </xdr:to>
    <xdr:pic>
      <xdr:nvPicPr>
        <xdr:cNvPr id="2" name="Text Box 1">
          <a:extLst>
            <a:ext uri="{FF2B5EF4-FFF2-40B4-BE49-F238E27FC236}">
              <a16:creationId xmlns:a16="http://schemas.microsoft.com/office/drawing/2014/main" id="{F79C9671-7EC3-4879-8CB8-D00AFAB7C92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94710" y="13322300"/>
          <a:ext cx="185172" cy="218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632460</xdr:colOff>
      <xdr:row>57</xdr:row>
      <xdr:rowOff>0</xdr:rowOff>
    </xdr:from>
    <xdr:to>
      <xdr:col>4</xdr:col>
      <xdr:colOff>125482</xdr:colOff>
      <xdr:row>58</xdr:row>
      <xdr:rowOff>8890</xdr:rowOff>
    </xdr:to>
    <xdr:pic>
      <xdr:nvPicPr>
        <xdr:cNvPr id="3" name="Text Box 2">
          <a:extLst>
            <a:ext uri="{FF2B5EF4-FFF2-40B4-BE49-F238E27FC236}">
              <a16:creationId xmlns:a16="http://schemas.microsoft.com/office/drawing/2014/main" id="{66852AD2-1854-4B7B-AEB5-7D8C4D51EE0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94710" y="13322300"/>
          <a:ext cx="185172" cy="218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632460</xdr:colOff>
      <xdr:row>57</xdr:row>
      <xdr:rowOff>0</xdr:rowOff>
    </xdr:from>
    <xdr:to>
      <xdr:col>4</xdr:col>
      <xdr:colOff>125482</xdr:colOff>
      <xdr:row>58</xdr:row>
      <xdr:rowOff>8890</xdr:rowOff>
    </xdr:to>
    <xdr:pic>
      <xdr:nvPicPr>
        <xdr:cNvPr id="4" name="Text Box 3">
          <a:extLst>
            <a:ext uri="{FF2B5EF4-FFF2-40B4-BE49-F238E27FC236}">
              <a16:creationId xmlns:a16="http://schemas.microsoft.com/office/drawing/2014/main" id="{213DE35E-FF19-4E85-8D6F-0562DEF3C8F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94710" y="13322300"/>
          <a:ext cx="185172" cy="218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632460</xdr:colOff>
      <xdr:row>57</xdr:row>
      <xdr:rowOff>0</xdr:rowOff>
    </xdr:from>
    <xdr:to>
      <xdr:col>4</xdr:col>
      <xdr:colOff>125482</xdr:colOff>
      <xdr:row>58</xdr:row>
      <xdr:rowOff>8890</xdr:rowOff>
    </xdr:to>
    <xdr:pic>
      <xdr:nvPicPr>
        <xdr:cNvPr id="5" name="Text Box 4">
          <a:extLst>
            <a:ext uri="{FF2B5EF4-FFF2-40B4-BE49-F238E27FC236}">
              <a16:creationId xmlns:a16="http://schemas.microsoft.com/office/drawing/2014/main" id="{FFD5A1EC-EF4B-4771-81A9-980917BAD4F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94710" y="13322300"/>
          <a:ext cx="185172" cy="218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CA8E786-F342-4816-94CD-08F2E13D1428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B68C53F-0D76-415E-9B71-F97624CD72F6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E8AF4A5E-76BE-47D8-81F1-091A5F67F650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3176FC4D-60D6-4482-B779-BFCBAB6120F7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114300</xdr:rowOff>
    </xdr:from>
    <xdr:to>
      <xdr:col>4</xdr:col>
      <xdr:colOff>83820</xdr:colOff>
      <xdr:row>36</xdr:row>
      <xdr:rowOff>114300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7AB67210-A1B8-47C8-8455-305F07522120}"/>
            </a:ext>
          </a:extLst>
        </xdr:cNvPr>
        <xdr:cNvSpPr txBox="1">
          <a:spLocks noChangeArrowheads="1"/>
        </xdr:cNvSpPr>
      </xdr:nvSpPr>
      <xdr:spPr bwMode="auto">
        <a:xfrm>
          <a:off x="3454400" y="84328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114300</xdr:rowOff>
    </xdr:from>
    <xdr:to>
      <xdr:col>4</xdr:col>
      <xdr:colOff>83820</xdr:colOff>
      <xdr:row>36</xdr:row>
      <xdr:rowOff>114300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EED86E56-58D2-4F7C-8CAB-21577D35F4BD}"/>
            </a:ext>
          </a:extLst>
        </xdr:cNvPr>
        <xdr:cNvSpPr txBox="1">
          <a:spLocks noChangeArrowheads="1"/>
        </xdr:cNvSpPr>
      </xdr:nvSpPr>
      <xdr:spPr bwMode="auto">
        <a:xfrm>
          <a:off x="3454400" y="84328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114300</xdr:rowOff>
    </xdr:from>
    <xdr:to>
      <xdr:col>4</xdr:col>
      <xdr:colOff>83820</xdr:colOff>
      <xdr:row>36</xdr:row>
      <xdr:rowOff>114300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6CAAD82C-29DF-4FF6-9CAF-628F49857E95}"/>
            </a:ext>
          </a:extLst>
        </xdr:cNvPr>
        <xdr:cNvSpPr txBox="1">
          <a:spLocks noChangeArrowheads="1"/>
        </xdr:cNvSpPr>
      </xdr:nvSpPr>
      <xdr:spPr bwMode="auto">
        <a:xfrm>
          <a:off x="3454400" y="84328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114300</xdr:rowOff>
    </xdr:from>
    <xdr:to>
      <xdr:col>4</xdr:col>
      <xdr:colOff>83820</xdr:colOff>
      <xdr:row>36</xdr:row>
      <xdr:rowOff>114300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49E84A1F-9D80-4999-A68A-8C437C0190AE}"/>
            </a:ext>
          </a:extLst>
        </xdr:cNvPr>
        <xdr:cNvSpPr txBox="1">
          <a:spLocks noChangeArrowheads="1"/>
        </xdr:cNvSpPr>
      </xdr:nvSpPr>
      <xdr:spPr bwMode="auto">
        <a:xfrm>
          <a:off x="3454400" y="84328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83FBE633-4202-4AE0-A723-8E0466CC5FBF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5A480FB-1415-4CAE-953A-942C9460E5A1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784B6E02-BE18-4C9D-9187-85DA38E13ABA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7B817C0A-3AD7-499A-99AE-42C2DCE7B037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18B0A3BF-6046-4075-8A54-42264BD8D18D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9F9ECDC-90E8-4EB3-80F8-4BC2E0BFD2A4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6D7832BC-37ED-4322-AE0D-E0DAF9A0E414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1025B432-D945-4CD3-B27D-9FE3FC666B5C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18" name="Text Box 1601">
          <a:extLst>
            <a:ext uri="{FF2B5EF4-FFF2-40B4-BE49-F238E27FC236}">
              <a16:creationId xmlns:a16="http://schemas.microsoft.com/office/drawing/2014/main" id="{B22CC066-3B24-40F2-A535-0D1F1598CC6C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19" name="Text Box 1602">
          <a:extLst>
            <a:ext uri="{FF2B5EF4-FFF2-40B4-BE49-F238E27FC236}">
              <a16:creationId xmlns:a16="http://schemas.microsoft.com/office/drawing/2014/main" id="{ED5774EB-1A98-4173-ABAA-632BD57B5DD6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20" name="Text Box 1603">
          <a:extLst>
            <a:ext uri="{FF2B5EF4-FFF2-40B4-BE49-F238E27FC236}">
              <a16:creationId xmlns:a16="http://schemas.microsoft.com/office/drawing/2014/main" id="{7353226B-0F15-43E4-9483-3075EE004416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21" name="Text Box 1604">
          <a:extLst>
            <a:ext uri="{FF2B5EF4-FFF2-40B4-BE49-F238E27FC236}">
              <a16:creationId xmlns:a16="http://schemas.microsoft.com/office/drawing/2014/main" id="{6F635227-9EB6-4475-B407-83C4C9CD0AFA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114300</xdr:rowOff>
    </xdr:from>
    <xdr:to>
      <xdr:col>4</xdr:col>
      <xdr:colOff>83820</xdr:colOff>
      <xdr:row>36</xdr:row>
      <xdr:rowOff>114300</xdr:rowOff>
    </xdr:to>
    <xdr:sp macro="" textlink="">
      <xdr:nvSpPr>
        <xdr:cNvPr id="22" name="Text Box 1605">
          <a:extLst>
            <a:ext uri="{FF2B5EF4-FFF2-40B4-BE49-F238E27FC236}">
              <a16:creationId xmlns:a16="http://schemas.microsoft.com/office/drawing/2014/main" id="{343F818B-BD0B-4E0B-A687-62C2388EBC63}"/>
            </a:ext>
          </a:extLst>
        </xdr:cNvPr>
        <xdr:cNvSpPr txBox="1">
          <a:spLocks noChangeArrowheads="1"/>
        </xdr:cNvSpPr>
      </xdr:nvSpPr>
      <xdr:spPr bwMode="auto">
        <a:xfrm>
          <a:off x="3454400" y="84328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114300</xdr:rowOff>
    </xdr:from>
    <xdr:to>
      <xdr:col>4</xdr:col>
      <xdr:colOff>83820</xdr:colOff>
      <xdr:row>36</xdr:row>
      <xdr:rowOff>114300</xdr:rowOff>
    </xdr:to>
    <xdr:sp macro="" textlink="">
      <xdr:nvSpPr>
        <xdr:cNvPr id="23" name="Text Box 1606">
          <a:extLst>
            <a:ext uri="{FF2B5EF4-FFF2-40B4-BE49-F238E27FC236}">
              <a16:creationId xmlns:a16="http://schemas.microsoft.com/office/drawing/2014/main" id="{E632136E-C1E4-4578-93C9-A689189BE2D8}"/>
            </a:ext>
          </a:extLst>
        </xdr:cNvPr>
        <xdr:cNvSpPr txBox="1">
          <a:spLocks noChangeArrowheads="1"/>
        </xdr:cNvSpPr>
      </xdr:nvSpPr>
      <xdr:spPr bwMode="auto">
        <a:xfrm>
          <a:off x="3454400" y="84328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114300</xdr:rowOff>
    </xdr:from>
    <xdr:to>
      <xdr:col>4</xdr:col>
      <xdr:colOff>83820</xdr:colOff>
      <xdr:row>36</xdr:row>
      <xdr:rowOff>114300</xdr:rowOff>
    </xdr:to>
    <xdr:sp macro="" textlink="">
      <xdr:nvSpPr>
        <xdr:cNvPr id="24" name="Text Box 1607">
          <a:extLst>
            <a:ext uri="{FF2B5EF4-FFF2-40B4-BE49-F238E27FC236}">
              <a16:creationId xmlns:a16="http://schemas.microsoft.com/office/drawing/2014/main" id="{8543BDB9-A35B-4681-8C4A-C53197D7F174}"/>
            </a:ext>
          </a:extLst>
        </xdr:cNvPr>
        <xdr:cNvSpPr txBox="1">
          <a:spLocks noChangeArrowheads="1"/>
        </xdr:cNvSpPr>
      </xdr:nvSpPr>
      <xdr:spPr bwMode="auto">
        <a:xfrm>
          <a:off x="3454400" y="84328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36</xdr:row>
      <xdr:rowOff>114300</xdr:rowOff>
    </xdr:from>
    <xdr:to>
      <xdr:col>4</xdr:col>
      <xdr:colOff>83820</xdr:colOff>
      <xdr:row>36</xdr:row>
      <xdr:rowOff>114300</xdr:rowOff>
    </xdr:to>
    <xdr:sp macro="" textlink="">
      <xdr:nvSpPr>
        <xdr:cNvPr id="25" name="Text Box 1608">
          <a:extLst>
            <a:ext uri="{FF2B5EF4-FFF2-40B4-BE49-F238E27FC236}">
              <a16:creationId xmlns:a16="http://schemas.microsoft.com/office/drawing/2014/main" id="{2602BD17-F23F-4BAC-8103-77B9BC39A3D6}"/>
            </a:ext>
          </a:extLst>
        </xdr:cNvPr>
        <xdr:cNvSpPr txBox="1">
          <a:spLocks noChangeArrowheads="1"/>
        </xdr:cNvSpPr>
      </xdr:nvSpPr>
      <xdr:spPr bwMode="auto">
        <a:xfrm>
          <a:off x="3454400" y="84328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26" name="Text Box 1609">
          <a:extLst>
            <a:ext uri="{FF2B5EF4-FFF2-40B4-BE49-F238E27FC236}">
              <a16:creationId xmlns:a16="http://schemas.microsoft.com/office/drawing/2014/main" id="{C28311DF-DF9D-4E42-9C64-50A35A6DF3DD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27" name="Text Box 1610">
          <a:extLst>
            <a:ext uri="{FF2B5EF4-FFF2-40B4-BE49-F238E27FC236}">
              <a16:creationId xmlns:a16="http://schemas.microsoft.com/office/drawing/2014/main" id="{67ED1874-4490-40AC-AE5B-5060998773E2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28" name="Text Box 1611">
          <a:extLst>
            <a:ext uri="{FF2B5EF4-FFF2-40B4-BE49-F238E27FC236}">
              <a16:creationId xmlns:a16="http://schemas.microsoft.com/office/drawing/2014/main" id="{7F39EA83-BFBA-437E-A25C-6BA5BA0D5546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29" name="Text Box 1612">
          <a:extLst>
            <a:ext uri="{FF2B5EF4-FFF2-40B4-BE49-F238E27FC236}">
              <a16:creationId xmlns:a16="http://schemas.microsoft.com/office/drawing/2014/main" id="{44E07CF8-749C-4E4A-93D3-CD0EC5CD1D43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30" name="Text Box 1613">
          <a:extLst>
            <a:ext uri="{FF2B5EF4-FFF2-40B4-BE49-F238E27FC236}">
              <a16:creationId xmlns:a16="http://schemas.microsoft.com/office/drawing/2014/main" id="{CB2F168E-7936-4018-8B21-65656AB60A7E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31" name="Text Box 1614">
          <a:extLst>
            <a:ext uri="{FF2B5EF4-FFF2-40B4-BE49-F238E27FC236}">
              <a16:creationId xmlns:a16="http://schemas.microsoft.com/office/drawing/2014/main" id="{0D3DCA21-A9C6-48FA-991C-C3D1DC948BFD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32" name="Text Box 1615">
          <a:extLst>
            <a:ext uri="{FF2B5EF4-FFF2-40B4-BE49-F238E27FC236}">
              <a16:creationId xmlns:a16="http://schemas.microsoft.com/office/drawing/2014/main" id="{F7B3AB1B-BB3E-47B9-8BB0-DBB259544A07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40</xdr:row>
      <xdr:rowOff>114300</xdr:rowOff>
    </xdr:from>
    <xdr:to>
      <xdr:col>4</xdr:col>
      <xdr:colOff>83820</xdr:colOff>
      <xdr:row>40</xdr:row>
      <xdr:rowOff>114300</xdr:rowOff>
    </xdr:to>
    <xdr:sp macro="" textlink="">
      <xdr:nvSpPr>
        <xdr:cNvPr id="33" name="Text Box 1616">
          <a:extLst>
            <a:ext uri="{FF2B5EF4-FFF2-40B4-BE49-F238E27FC236}">
              <a16:creationId xmlns:a16="http://schemas.microsoft.com/office/drawing/2014/main" id="{C9B872DB-01D6-4981-A736-CD9F78925866}"/>
            </a:ext>
          </a:extLst>
        </xdr:cNvPr>
        <xdr:cNvSpPr txBox="1">
          <a:spLocks noChangeArrowheads="1"/>
        </xdr:cNvSpPr>
      </xdr:nvSpPr>
      <xdr:spPr bwMode="auto">
        <a:xfrm>
          <a:off x="3454400" y="9398000"/>
          <a:ext cx="838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923925</xdr:colOff>
      <xdr:row>27</xdr:row>
      <xdr:rowOff>25400</xdr:rowOff>
    </xdr:from>
    <xdr:to>
      <xdr:col>7</xdr:col>
      <xdr:colOff>619125</xdr:colOff>
      <xdr:row>30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E02F68-E241-8F78-1576-DA59AB7829D8}"/>
            </a:ext>
          </a:extLst>
        </xdr:cNvPr>
        <xdr:cNvSpPr txBox="1"/>
      </xdr:nvSpPr>
      <xdr:spPr>
        <a:xfrm>
          <a:off x="3505200" y="6940550"/>
          <a:ext cx="3467100" cy="8604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5400" b="1">
              <a:solidFill>
                <a:srgbClr val="FF0000"/>
              </a:solidFill>
            </a:rPr>
            <a:t>사 용 금 지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74B72-BD8C-40B5-831A-803DB05C1F2A}">
  <sheetPr>
    <tabColor rgb="FFFFFF00"/>
    <pageSetUpPr fitToPage="1"/>
  </sheetPr>
  <dimension ref="A1:AA73"/>
  <sheetViews>
    <sheetView topLeftCell="A40" zoomScale="130" zoomScaleNormal="130" workbookViewId="0">
      <selection activeCell="E43" sqref="E43"/>
    </sheetView>
  </sheetViews>
  <sheetFormatPr defaultRowHeight="20.149999999999999" customHeight="1" x14ac:dyDescent="0.45"/>
  <cols>
    <col min="1" max="1" width="11.08203125" style="26" customWidth="1"/>
    <col min="2" max="2" width="14.08203125" style="26" customWidth="1"/>
    <col min="3" max="3" width="11.08203125" style="1" customWidth="1"/>
    <col min="4" max="4" width="9.08203125" style="2" customWidth="1"/>
    <col min="5" max="5" width="11.08203125" style="1" customWidth="1"/>
    <col min="6" max="6" width="9.08203125" style="2" customWidth="1"/>
    <col min="7" max="7" width="11.08203125" style="26" customWidth="1"/>
    <col min="8" max="8" width="9.08203125" style="29" customWidth="1"/>
    <col min="9" max="9" width="12.58203125" style="26" customWidth="1"/>
    <col min="10" max="10" width="8.08203125" style="29" customWidth="1"/>
    <col min="11" max="11" width="5.58203125" style="26" customWidth="1"/>
    <col min="12" max="12" width="1.58203125" style="26" customWidth="1"/>
    <col min="13" max="13" width="8.33203125" style="26" customWidth="1"/>
    <col min="14" max="14" width="1.58203125" style="7" customWidth="1"/>
    <col min="15" max="23" width="8.5" style="84" bestFit="1" customWidth="1"/>
    <col min="24" max="26" width="9.25" style="84" bestFit="1" customWidth="1"/>
    <col min="27" max="27" width="9.08203125" style="84" bestFit="1" customWidth="1"/>
    <col min="28" max="258" width="8.6640625" style="26"/>
    <col min="259" max="259" width="12.25" style="26" customWidth="1"/>
    <col min="260" max="260" width="16.25" style="26" customWidth="1"/>
    <col min="261" max="261" width="12.33203125" style="26" customWidth="1"/>
    <col min="262" max="262" width="10.58203125" style="26" customWidth="1"/>
    <col min="263" max="263" width="12.33203125" style="26" customWidth="1"/>
    <col min="264" max="264" width="10.58203125" style="26" customWidth="1"/>
    <col min="265" max="265" width="11.25" style="26" customWidth="1"/>
    <col min="266" max="266" width="9" style="26" customWidth="1"/>
    <col min="267" max="267" width="14.5" style="26" bestFit="1" customWidth="1"/>
    <col min="268" max="268" width="9" style="26" customWidth="1"/>
    <col min="269" max="269" width="7.25" style="26" customWidth="1"/>
    <col min="270" max="270" width="8.33203125" style="26" customWidth="1"/>
    <col min="271" max="271" width="9.75" style="26" customWidth="1"/>
    <col min="272" max="514" width="8.6640625" style="26"/>
    <col min="515" max="515" width="12.25" style="26" customWidth="1"/>
    <col min="516" max="516" width="16.25" style="26" customWidth="1"/>
    <col min="517" max="517" width="12.33203125" style="26" customWidth="1"/>
    <col min="518" max="518" width="10.58203125" style="26" customWidth="1"/>
    <col min="519" max="519" width="12.33203125" style="26" customWidth="1"/>
    <col min="520" max="520" width="10.58203125" style="26" customWidth="1"/>
    <col min="521" max="521" width="11.25" style="26" customWidth="1"/>
    <col min="522" max="522" width="9" style="26" customWidth="1"/>
    <col min="523" max="523" width="14.5" style="26" bestFit="1" customWidth="1"/>
    <col min="524" max="524" width="9" style="26" customWidth="1"/>
    <col min="525" max="525" width="7.25" style="26" customWidth="1"/>
    <col min="526" max="526" width="8.33203125" style="26" customWidth="1"/>
    <col min="527" max="527" width="9.75" style="26" customWidth="1"/>
    <col min="528" max="770" width="8.6640625" style="26"/>
    <col min="771" max="771" width="12.25" style="26" customWidth="1"/>
    <col min="772" max="772" width="16.25" style="26" customWidth="1"/>
    <col min="773" max="773" width="12.33203125" style="26" customWidth="1"/>
    <col min="774" max="774" width="10.58203125" style="26" customWidth="1"/>
    <col min="775" max="775" width="12.33203125" style="26" customWidth="1"/>
    <col min="776" max="776" width="10.58203125" style="26" customWidth="1"/>
    <col min="777" max="777" width="11.25" style="26" customWidth="1"/>
    <col min="778" max="778" width="9" style="26" customWidth="1"/>
    <col min="779" max="779" width="14.5" style="26" bestFit="1" customWidth="1"/>
    <col min="780" max="780" width="9" style="26" customWidth="1"/>
    <col min="781" max="781" width="7.25" style="26" customWidth="1"/>
    <col min="782" max="782" width="8.33203125" style="26" customWidth="1"/>
    <col min="783" max="783" width="9.75" style="26" customWidth="1"/>
    <col min="784" max="1026" width="8.6640625" style="26"/>
    <col min="1027" max="1027" width="12.25" style="26" customWidth="1"/>
    <col min="1028" max="1028" width="16.25" style="26" customWidth="1"/>
    <col min="1029" max="1029" width="12.33203125" style="26" customWidth="1"/>
    <col min="1030" max="1030" width="10.58203125" style="26" customWidth="1"/>
    <col min="1031" max="1031" width="12.33203125" style="26" customWidth="1"/>
    <col min="1032" max="1032" width="10.58203125" style="26" customWidth="1"/>
    <col min="1033" max="1033" width="11.25" style="26" customWidth="1"/>
    <col min="1034" max="1034" width="9" style="26" customWidth="1"/>
    <col min="1035" max="1035" width="14.5" style="26" bestFit="1" customWidth="1"/>
    <col min="1036" max="1036" width="9" style="26" customWidth="1"/>
    <col min="1037" max="1037" width="7.25" style="26" customWidth="1"/>
    <col min="1038" max="1038" width="8.33203125" style="26" customWidth="1"/>
    <col min="1039" max="1039" width="9.75" style="26" customWidth="1"/>
    <col min="1040" max="1282" width="8.6640625" style="26"/>
    <col min="1283" max="1283" width="12.25" style="26" customWidth="1"/>
    <col min="1284" max="1284" width="16.25" style="26" customWidth="1"/>
    <col min="1285" max="1285" width="12.33203125" style="26" customWidth="1"/>
    <col min="1286" max="1286" width="10.58203125" style="26" customWidth="1"/>
    <col min="1287" max="1287" width="12.33203125" style="26" customWidth="1"/>
    <col min="1288" max="1288" width="10.58203125" style="26" customWidth="1"/>
    <col min="1289" max="1289" width="11.25" style="26" customWidth="1"/>
    <col min="1290" max="1290" width="9" style="26" customWidth="1"/>
    <col min="1291" max="1291" width="14.5" style="26" bestFit="1" customWidth="1"/>
    <col min="1292" max="1292" width="9" style="26" customWidth="1"/>
    <col min="1293" max="1293" width="7.25" style="26" customWidth="1"/>
    <col min="1294" max="1294" width="8.33203125" style="26" customWidth="1"/>
    <col min="1295" max="1295" width="9.75" style="26" customWidth="1"/>
    <col min="1296" max="1538" width="8.6640625" style="26"/>
    <col min="1539" max="1539" width="12.25" style="26" customWidth="1"/>
    <col min="1540" max="1540" width="16.25" style="26" customWidth="1"/>
    <col min="1541" max="1541" width="12.33203125" style="26" customWidth="1"/>
    <col min="1542" max="1542" width="10.58203125" style="26" customWidth="1"/>
    <col min="1543" max="1543" width="12.33203125" style="26" customWidth="1"/>
    <col min="1544" max="1544" width="10.58203125" style="26" customWidth="1"/>
    <col min="1545" max="1545" width="11.25" style="26" customWidth="1"/>
    <col min="1546" max="1546" width="9" style="26" customWidth="1"/>
    <col min="1547" max="1547" width="14.5" style="26" bestFit="1" customWidth="1"/>
    <col min="1548" max="1548" width="9" style="26" customWidth="1"/>
    <col min="1549" max="1549" width="7.25" style="26" customWidth="1"/>
    <col min="1550" max="1550" width="8.33203125" style="26" customWidth="1"/>
    <col min="1551" max="1551" width="9.75" style="26" customWidth="1"/>
    <col min="1552" max="1794" width="8.6640625" style="26"/>
    <col min="1795" max="1795" width="12.25" style="26" customWidth="1"/>
    <col min="1796" max="1796" width="16.25" style="26" customWidth="1"/>
    <col min="1797" max="1797" width="12.33203125" style="26" customWidth="1"/>
    <col min="1798" max="1798" width="10.58203125" style="26" customWidth="1"/>
    <col min="1799" max="1799" width="12.33203125" style="26" customWidth="1"/>
    <col min="1800" max="1800" width="10.58203125" style="26" customWidth="1"/>
    <col min="1801" max="1801" width="11.25" style="26" customWidth="1"/>
    <col min="1802" max="1802" width="9" style="26" customWidth="1"/>
    <col min="1803" max="1803" width="14.5" style="26" bestFit="1" customWidth="1"/>
    <col min="1804" max="1804" width="9" style="26" customWidth="1"/>
    <col min="1805" max="1805" width="7.25" style="26" customWidth="1"/>
    <col min="1806" max="1806" width="8.33203125" style="26" customWidth="1"/>
    <col min="1807" max="1807" width="9.75" style="26" customWidth="1"/>
    <col min="1808" max="2050" width="8.6640625" style="26"/>
    <col min="2051" max="2051" width="12.25" style="26" customWidth="1"/>
    <col min="2052" max="2052" width="16.25" style="26" customWidth="1"/>
    <col min="2053" max="2053" width="12.33203125" style="26" customWidth="1"/>
    <col min="2054" max="2054" width="10.58203125" style="26" customWidth="1"/>
    <col min="2055" max="2055" width="12.33203125" style="26" customWidth="1"/>
    <col min="2056" max="2056" width="10.58203125" style="26" customWidth="1"/>
    <col min="2057" max="2057" width="11.25" style="26" customWidth="1"/>
    <col min="2058" max="2058" width="9" style="26" customWidth="1"/>
    <col min="2059" max="2059" width="14.5" style="26" bestFit="1" customWidth="1"/>
    <col min="2060" max="2060" width="9" style="26" customWidth="1"/>
    <col min="2061" max="2061" width="7.25" style="26" customWidth="1"/>
    <col min="2062" max="2062" width="8.33203125" style="26" customWidth="1"/>
    <col min="2063" max="2063" width="9.75" style="26" customWidth="1"/>
    <col min="2064" max="2306" width="8.6640625" style="26"/>
    <col min="2307" max="2307" width="12.25" style="26" customWidth="1"/>
    <col min="2308" max="2308" width="16.25" style="26" customWidth="1"/>
    <col min="2309" max="2309" width="12.33203125" style="26" customWidth="1"/>
    <col min="2310" max="2310" width="10.58203125" style="26" customWidth="1"/>
    <col min="2311" max="2311" width="12.33203125" style="26" customWidth="1"/>
    <col min="2312" max="2312" width="10.58203125" style="26" customWidth="1"/>
    <col min="2313" max="2313" width="11.25" style="26" customWidth="1"/>
    <col min="2314" max="2314" width="9" style="26" customWidth="1"/>
    <col min="2315" max="2315" width="14.5" style="26" bestFit="1" customWidth="1"/>
    <col min="2316" max="2316" width="9" style="26" customWidth="1"/>
    <col min="2317" max="2317" width="7.25" style="26" customWidth="1"/>
    <col min="2318" max="2318" width="8.33203125" style="26" customWidth="1"/>
    <col min="2319" max="2319" width="9.75" style="26" customWidth="1"/>
    <col min="2320" max="2562" width="8.6640625" style="26"/>
    <col min="2563" max="2563" width="12.25" style="26" customWidth="1"/>
    <col min="2564" max="2564" width="16.25" style="26" customWidth="1"/>
    <col min="2565" max="2565" width="12.33203125" style="26" customWidth="1"/>
    <col min="2566" max="2566" width="10.58203125" style="26" customWidth="1"/>
    <col min="2567" max="2567" width="12.33203125" style="26" customWidth="1"/>
    <col min="2568" max="2568" width="10.58203125" style="26" customWidth="1"/>
    <col min="2569" max="2569" width="11.25" style="26" customWidth="1"/>
    <col min="2570" max="2570" width="9" style="26" customWidth="1"/>
    <col min="2571" max="2571" width="14.5" style="26" bestFit="1" customWidth="1"/>
    <col min="2572" max="2572" width="9" style="26" customWidth="1"/>
    <col min="2573" max="2573" width="7.25" style="26" customWidth="1"/>
    <col min="2574" max="2574" width="8.33203125" style="26" customWidth="1"/>
    <col min="2575" max="2575" width="9.75" style="26" customWidth="1"/>
    <col min="2576" max="2818" width="8.6640625" style="26"/>
    <col min="2819" max="2819" width="12.25" style="26" customWidth="1"/>
    <col min="2820" max="2820" width="16.25" style="26" customWidth="1"/>
    <col min="2821" max="2821" width="12.33203125" style="26" customWidth="1"/>
    <col min="2822" max="2822" width="10.58203125" style="26" customWidth="1"/>
    <col min="2823" max="2823" width="12.33203125" style="26" customWidth="1"/>
    <col min="2824" max="2824" width="10.58203125" style="26" customWidth="1"/>
    <col min="2825" max="2825" width="11.25" style="26" customWidth="1"/>
    <col min="2826" max="2826" width="9" style="26" customWidth="1"/>
    <col min="2827" max="2827" width="14.5" style="26" bestFit="1" customWidth="1"/>
    <col min="2828" max="2828" width="9" style="26" customWidth="1"/>
    <col min="2829" max="2829" width="7.25" style="26" customWidth="1"/>
    <col min="2830" max="2830" width="8.33203125" style="26" customWidth="1"/>
    <col min="2831" max="2831" width="9.75" style="26" customWidth="1"/>
    <col min="2832" max="3074" width="8.6640625" style="26"/>
    <col min="3075" max="3075" width="12.25" style="26" customWidth="1"/>
    <col min="3076" max="3076" width="16.25" style="26" customWidth="1"/>
    <col min="3077" max="3077" width="12.33203125" style="26" customWidth="1"/>
    <col min="3078" max="3078" width="10.58203125" style="26" customWidth="1"/>
    <col min="3079" max="3079" width="12.33203125" style="26" customWidth="1"/>
    <col min="3080" max="3080" width="10.58203125" style="26" customWidth="1"/>
    <col min="3081" max="3081" width="11.25" style="26" customWidth="1"/>
    <col min="3082" max="3082" width="9" style="26" customWidth="1"/>
    <col min="3083" max="3083" width="14.5" style="26" bestFit="1" customWidth="1"/>
    <col min="3084" max="3084" width="9" style="26" customWidth="1"/>
    <col min="3085" max="3085" width="7.25" style="26" customWidth="1"/>
    <col min="3086" max="3086" width="8.33203125" style="26" customWidth="1"/>
    <col min="3087" max="3087" width="9.75" style="26" customWidth="1"/>
    <col min="3088" max="3330" width="8.6640625" style="26"/>
    <col min="3331" max="3331" width="12.25" style="26" customWidth="1"/>
    <col min="3332" max="3332" width="16.25" style="26" customWidth="1"/>
    <col min="3333" max="3333" width="12.33203125" style="26" customWidth="1"/>
    <col min="3334" max="3334" width="10.58203125" style="26" customWidth="1"/>
    <col min="3335" max="3335" width="12.33203125" style="26" customWidth="1"/>
    <col min="3336" max="3336" width="10.58203125" style="26" customWidth="1"/>
    <col min="3337" max="3337" width="11.25" style="26" customWidth="1"/>
    <col min="3338" max="3338" width="9" style="26" customWidth="1"/>
    <col min="3339" max="3339" width="14.5" style="26" bestFit="1" customWidth="1"/>
    <col min="3340" max="3340" width="9" style="26" customWidth="1"/>
    <col min="3341" max="3341" width="7.25" style="26" customWidth="1"/>
    <col min="3342" max="3342" width="8.33203125" style="26" customWidth="1"/>
    <col min="3343" max="3343" width="9.75" style="26" customWidth="1"/>
    <col min="3344" max="3586" width="8.6640625" style="26"/>
    <col min="3587" max="3587" width="12.25" style="26" customWidth="1"/>
    <col min="3588" max="3588" width="16.25" style="26" customWidth="1"/>
    <col min="3589" max="3589" width="12.33203125" style="26" customWidth="1"/>
    <col min="3590" max="3590" width="10.58203125" style="26" customWidth="1"/>
    <col min="3591" max="3591" width="12.33203125" style="26" customWidth="1"/>
    <col min="3592" max="3592" width="10.58203125" style="26" customWidth="1"/>
    <col min="3593" max="3593" width="11.25" style="26" customWidth="1"/>
    <col min="3594" max="3594" width="9" style="26" customWidth="1"/>
    <col min="3595" max="3595" width="14.5" style="26" bestFit="1" customWidth="1"/>
    <col min="3596" max="3596" width="9" style="26" customWidth="1"/>
    <col min="3597" max="3597" width="7.25" style="26" customWidth="1"/>
    <col min="3598" max="3598" width="8.33203125" style="26" customWidth="1"/>
    <col min="3599" max="3599" width="9.75" style="26" customWidth="1"/>
    <col min="3600" max="3842" width="8.6640625" style="26"/>
    <col min="3843" max="3843" width="12.25" style="26" customWidth="1"/>
    <col min="3844" max="3844" width="16.25" style="26" customWidth="1"/>
    <col min="3845" max="3845" width="12.33203125" style="26" customWidth="1"/>
    <col min="3846" max="3846" width="10.58203125" style="26" customWidth="1"/>
    <col min="3847" max="3847" width="12.33203125" style="26" customWidth="1"/>
    <col min="3848" max="3848" width="10.58203125" style="26" customWidth="1"/>
    <col min="3849" max="3849" width="11.25" style="26" customWidth="1"/>
    <col min="3850" max="3850" width="9" style="26" customWidth="1"/>
    <col min="3851" max="3851" width="14.5" style="26" bestFit="1" customWidth="1"/>
    <col min="3852" max="3852" width="9" style="26" customWidth="1"/>
    <col min="3853" max="3853" width="7.25" style="26" customWidth="1"/>
    <col min="3854" max="3854" width="8.33203125" style="26" customWidth="1"/>
    <col min="3855" max="3855" width="9.75" style="26" customWidth="1"/>
    <col min="3856" max="4098" width="8.6640625" style="26"/>
    <col min="4099" max="4099" width="12.25" style="26" customWidth="1"/>
    <col min="4100" max="4100" width="16.25" style="26" customWidth="1"/>
    <col min="4101" max="4101" width="12.33203125" style="26" customWidth="1"/>
    <col min="4102" max="4102" width="10.58203125" style="26" customWidth="1"/>
    <col min="4103" max="4103" width="12.33203125" style="26" customWidth="1"/>
    <col min="4104" max="4104" width="10.58203125" style="26" customWidth="1"/>
    <col min="4105" max="4105" width="11.25" style="26" customWidth="1"/>
    <col min="4106" max="4106" width="9" style="26" customWidth="1"/>
    <col min="4107" max="4107" width="14.5" style="26" bestFit="1" customWidth="1"/>
    <col min="4108" max="4108" width="9" style="26" customWidth="1"/>
    <col min="4109" max="4109" width="7.25" style="26" customWidth="1"/>
    <col min="4110" max="4110" width="8.33203125" style="26" customWidth="1"/>
    <col min="4111" max="4111" width="9.75" style="26" customWidth="1"/>
    <col min="4112" max="4354" width="8.6640625" style="26"/>
    <col min="4355" max="4355" width="12.25" style="26" customWidth="1"/>
    <col min="4356" max="4356" width="16.25" style="26" customWidth="1"/>
    <col min="4357" max="4357" width="12.33203125" style="26" customWidth="1"/>
    <col min="4358" max="4358" width="10.58203125" style="26" customWidth="1"/>
    <col min="4359" max="4359" width="12.33203125" style="26" customWidth="1"/>
    <col min="4360" max="4360" width="10.58203125" style="26" customWidth="1"/>
    <col min="4361" max="4361" width="11.25" style="26" customWidth="1"/>
    <col min="4362" max="4362" width="9" style="26" customWidth="1"/>
    <col min="4363" max="4363" width="14.5" style="26" bestFit="1" customWidth="1"/>
    <col min="4364" max="4364" width="9" style="26" customWidth="1"/>
    <col min="4365" max="4365" width="7.25" style="26" customWidth="1"/>
    <col min="4366" max="4366" width="8.33203125" style="26" customWidth="1"/>
    <col min="4367" max="4367" width="9.75" style="26" customWidth="1"/>
    <col min="4368" max="4610" width="8.6640625" style="26"/>
    <col min="4611" max="4611" width="12.25" style="26" customWidth="1"/>
    <col min="4612" max="4612" width="16.25" style="26" customWidth="1"/>
    <col min="4613" max="4613" width="12.33203125" style="26" customWidth="1"/>
    <col min="4614" max="4614" width="10.58203125" style="26" customWidth="1"/>
    <col min="4615" max="4615" width="12.33203125" style="26" customWidth="1"/>
    <col min="4616" max="4616" width="10.58203125" style="26" customWidth="1"/>
    <col min="4617" max="4617" width="11.25" style="26" customWidth="1"/>
    <col min="4618" max="4618" width="9" style="26" customWidth="1"/>
    <col min="4619" max="4619" width="14.5" style="26" bestFit="1" customWidth="1"/>
    <col min="4620" max="4620" width="9" style="26" customWidth="1"/>
    <col min="4621" max="4621" width="7.25" style="26" customWidth="1"/>
    <col min="4622" max="4622" width="8.33203125" style="26" customWidth="1"/>
    <col min="4623" max="4623" width="9.75" style="26" customWidth="1"/>
    <col min="4624" max="4866" width="8.6640625" style="26"/>
    <col min="4867" max="4867" width="12.25" style="26" customWidth="1"/>
    <col min="4868" max="4868" width="16.25" style="26" customWidth="1"/>
    <col min="4869" max="4869" width="12.33203125" style="26" customWidth="1"/>
    <col min="4870" max="4870" width="10.58203125" style="26" customWidth="1"/>
    <col min="4871" max="4871" width="12.33203125" style="26" customWidth="1"/>
    <col min="4872" max="4872" width="10.58203125" style="26" customWidth="1"/>
    <col min="4873" max="4873" width="11.25" style="26" customWidth="1"/>
    <col min="4874" max="4874" width="9" style="26" customWidth="1"/>
    <col min="4875" max="4875" width="14.5" style="26" bestFit="1" customWidth="1"/>
    <col min="4876" max="4876" width="9" style="26" customWidth="1"/>
    <col min="4877" max="4877" width="7.25" style="26" customWidth="1"/>
    <col min="4878" max="4878" width="8.33203125" style="26" customWidth="1"/>
    <col min="4879" max="4879" width="9.75" style="26" customWidth="1"/>
    <col min="4880" max="5122" width="8.6640625" style="26"/>
    <col min="5123" max="5123" width="12.25" style="26" customWidth="1"/>
    <col min="5124" max="5124" width="16.25" style="26" customWidth="1"/>
    <col min="5125" max="5125" width="12.33203125" style="26" customWidth="1"/>
    <col min="5126" max="5126" width="10.58203125" style="26" customWidth="1"/>
    <col min="5127" max="5127" width="12.33203125" style="26" customWidth="1"/>
    <col min="5128" max="5128" width="10.58203125" style="26" customWidth="1"/>
    <col min="5129" max="5129" width="11.25" style="26" customWidth="1"/>
    <col min="5130" max="5130" width="9" style="26" customWidth="1"/>
    <col min="5131" max="5131" width="14.5" style="26" bestFit="1" customWidth="1"/>
    <col min="5132" max="5132" width="9" style="26" customWidth="1"/>
    <col min="5133" max="5133" width="7.25" style="26" customWidth="1"/>
    <col min="5134" max="5134" width="8.33203125" style="26" customWidth="1"/>
    <col min="5135" max="5135" width="9.75" style="26" customWidth="1"/>
    <col min="5136" max="5378" width="8.6640625" style="26"/>
    <col min="5379" max="5379" width="12.25" style="26" customWidth="1"/>
    <col min="5380" max="5380" width="16.25" style="26" customWidth="1"/>
    <col min="5381" max="5381" width="12.33203125" style="26" customWidth="1"/>
    <col min="5382" max="5382" width="10.58203125" style="26" customWidth="1"/>
    <col min="5383" max="5383" width="12.33203125" style="26" customWidth="1"/>
    <col min="5384" max="5384" width="10.58203125" style="26" customWidth="1"/>
    <col min="5385" max="5385" width="11.25" style="26" customWidth="1"/>
    <col min="5386" max="5386" width="9" style="26" customWidth="1"/>
    <col min="5387" max="5387" width="14.5" style="26" bestFit="1" customWidth="1"/>
    <col min="5388" max="5388" width="9" style="26" customWidth="1"/>
    <col min="5389" max="5389" width="7.25" style="26" customWidth="1"/>
    <col min="5390" max="5390" width="8.33203125" style="26" customWidth="1"/>
    <col min="5391" max="5391" width="9.75" style="26" customWidth="1"/>
    <col min="5392" max="5634" width="8.6640625" style="26"/>
    <col min="5635" max="5635" width="12.25" style="26" customWidth="1"/>
    <col min="5636" max="5636" width="16.25" style="26" customWidth="1"/>
    <col min="5637" max="5637" width="12.33203125" style="26" customWidth="1"/>
    <col min="5638" max="5638" width="10.58203125" style="26" customWidth="1"/>
    <col min="5639" max="5639" width="12.33203125" style="26" customWidth="1"/>
    <col min="5640" max="5640" width="10.58203125" style="26" customWidth="1"/>
    <col min="5641" max="5641" width="11.25" style="26" customWidth="1"/>
    <col min="5642" max="5642" width="9" style="26" customWidth="1"/>
    <col min="5643" max="5643" width="14.5" style="26" bestFit="1" customWidth="1"/>
    <col min="5644" max="5644" width="9" style="26" customWidth="1"/>
    <col min="5645" max="5645" width="7.25" style="26" customWidth="1"/>
    <col min="5646" max="5646" width="8.33203125" style="26" customWidth="1"/>
    <col min="5647" max="5647" width="9.75" style="26" customWidth="1"/>
    <col min="5648" max="5890" width="8.6640625" style="26"/>
    <col min="5891" max="5891" width="12.25" style="26" customWidth="1"/>
    <col min="5892" max="5892" width="16.25" style="26" customWidth="1"/>
    <col min="5893" max="5893" width="12.33203125" style="26" customWidth="1"/>
    <col min="5894" max="5894" width="10.58203125" style="26" customWidth="1"/>
    <col min="5895" max="5895" width="12.33203125" style="26" customWidth="1"/>
    <col min="5896" max="5896" width="10.58203125" style="26" customWidth="1"/>
    <col min="5897" max="5897" width="11.25" style="26" customWidth="1"/>
    <col min="5898" max="5898" width="9" style="26" customWidth="1"/>
    <col min="5899" max="5899" width="14.5" style="26" bestFit="1" customWidth="1"/>
    <col min="5900" max="5900" width="9" style="26" customWidth="1"/>
    <col min="5901" max="5901" width="7.25" style="26" customWidth="1"/>
    <col min="5902" max="5902" width="8.33203125" style="26" customWidth="1"/>
    <col min="5903" max="5903" width="9.75" style="26" customWidth="1"/>
    <col min="5904" max="6146" width="8.6640625" style="26"/>
    <col min="6147" max="6147" width="12.25" style="26" customWidth="1"/>
    <col min="6148" max="6148" width="16.25" style="26" customWidth="1"/>
    <col min="6149" max="6149" width="12.33203125" style="26" customWidth="1"/>
    <col min="6150" max="6150" width="10.58203125" style="26" customWidth="1"/>
    <col min="6151" max="6151" width="12.33203125" style="26" customWidth="1"/>
    <col min="6152" max="6152" width="10.58203125" style="26" customWidth="1"/>
    <col min="6153" max="6153" width="11.25" style="26" customWidth="1"/>
    <col min="6154" max="6154" width="9" style="26" customWidth="1"/>
    <col min="6155" max="6155" width="14.5" style="26" bestFit="1" customWidth="1"/>
    <col min="6156" max="6156" width="9" style="26" customWidth="1"/>
    <col min="6157" max="6157" width="7.25" style="26" customWidth="1"/>
    <col min="6158" max="6158" width="8.33203125" style="26" customWidth="1"/>
    <col min="6159" max="6159" width="9.75" style="26" customWidth="1"/>
    <col min="6160" max="6402" width="8.6640625" style="26"/>
    <col min="6403" max="6403" width="12.25" style="26" customWidth="1"/>
    <col min="6404" max="6404" width="16.25" style="26" customWidth="1"/>
    <col min="6405" max="6405" width="12.33203125" style="26" customWidth="1"/>
    <col min="6406" max="6406" width="10.58203125" style="26" customWidth="1"/>
    <col min="6407" max="6407" width="12.33203125" style="26" customWidth="1"/>
    <col min="6408" max="6408" width="10.58203125" style="26" customWidth="1"/>
    <col min="6409" max="6409" width="11.25" style="26" customWidth="1"/>
    <col min="6410" max="6410" width="9" style="26" customWidth="1"/>
    <col min="6411" max="6411" width="14.5" style="26" bestFit="1" customWidth="1"/>
    <col min="6412" max="6412" width="9" style="26" customWidth="1"/>
    <col min="6413" max="6413" width="7.25" style="26" customWidth="1"/>
    <col min="6414" max="6414" width="8.33203125" style="26" customWidth="1"/>
    <col min="6415" max="6415" width="9.75" style="26" customWidth="1"/>
    <col min="6416" max="6658" width="8.6640625" style="26"/>
    <col min="6659" max="6659" width="12.25" style="26" customWidth="1"/>
    <col min="6660" max="6660" width="16.25" style="26" customWidth="1"/>
    <col min="6661" max="6661" width="12.33203125" style="26" customWidth="1"/>
    <col min="6662" max="6662" width="10.58203125" style="26" customWidth="1"/>
    <col min="6663" max="6663" width="12.33203125" style="26" customWidth="1"/>
    <col min="6664" max="6664" width="10.58203125" style="26" customWidth="1"/>
    <col min="6665" max="6665" width="11.25" style="26" customWidth="1"/>
    <col min="6666" max="6666" width="9" style="26" customWidth="1"/>
    <col min="6667" max="6667" width="14.5" style="26" bestFit="1" customWidth="1"/>
    <col min="6668" max="6668" width="9" style="26" customWidth="1"/>
    <col min="6669" max="6669" width="7.25" style="26" customWidth="1"/>
    <col min="6670" max="6670" width="8.33203125" style="26" customWidth="1"/>
    <col min="6671" max="6671" width="9.75" style="26" customWidth="1"/>
    <col min="6672" max="6914" width="8.6640625" style="26"/>
    <col min="6915" max="6915" width="12.25" style="26" customWidth="1"/>
    <col min="6916" max="6916" width="16.25" style="26" customWidth="1"/>
    <col min="6917" max="6917" width="12.33203125" style="26" customWidth="1"/>
    <col min="6918" max="6918" width="10.58203125" style="26" customWidth="1"/>
    <col min="6919" max="6919" width="12.33203125" style="26" customWidth="1"/>
    <col min="6920" max="6920" width="10.58203125" style="26" customWidth="1"/>
    <col min="6921" max="6921" width="11.25" style="26" customWidth="1"/>
    <col min="6922" max="6922" width="9" style="26" customWidth="1"/>
    <col min="6923" max="6923" width="14.5" style="26" bestFit="1" customWidth="1"/>
    <col min="6924" max="6924" width="9" style="26" customWidth="1"/>
    <col min="6925" max="6925" width="7.25" style="26" customWidth="1"/>
    <col min="6926" max="6926" width="8.33203125" style="26" customWidth="1"/>
    <col min="6927" max="6927" width="9.75" style="26" customWidth="1"/>
    <col min="6928" max="7170" width="8.6640625" style="26"/>
    <col min="7171" max="7171" width="12.25" style="26" customWidth="1"/>
    <col min="7172" max="7172" width="16.25" style="26" customWidth="1"/>
    <col min="7173" max="7173" width="12.33203125" style="26" customWidth="1"/>
    <col min="7174" max="7174" width="10.58203125" style="26" customWidth="1"/>
    <col min="7175" max="7175" width="12.33203125" style="26" customWidth="1"/>
    <col min="7176" max="7176" width="10.58203125" style="26" customWidth="1"/>
    <col min="7177" max="7177" width="11.25" style="26" customWidth="1"/>
    <col min="7178" max="7178" width="9" style="26" customWidth="1"/>
    <col min="7179" max="7179" width="14.5" style="26" bestFit="1" customWidth="1"/>
    <col min="7180" max="7180" width="9" style="26" customWidth="1"/>
    <col min="7181" max="7181" width="7.25" style="26" customWidth="1"/>
    <col min="7182" max="7182" width="8.33203125" style="26" customWidth="1"/>
    <col min="7183" max="7183" width="9.75" style="26" customWidth="1"/>
    <col min="7184" max="7426" width="8.6640625" style="26"/>
    <col min="7427" max="7427" width="12.25" style="26" customWidth="1"/>
    <col min="7428" max="7428" width="16.25" style="26" customWidth="1"/>
    <col min="7429" max="7429" width="12.33203125" style="26" customWidth="1"/>
    <col min="7430" max="7430" width="10.58203125" style="26" customWidth="1"/>
    <col min="7431" max="7431" width="12.33203125" style="26" customWidth="1"/>
    <col min="7432" max="7432" width="10.58203125" style="26" customWidth="1"/>
    <col min="7433" max="7433" width="11.25" style="26" customWidth="1"/>
    <col min="7434" max="7434" width="9" style="26" customWidth="1"/>
    <col min="7435" max="7435" width="14.5" style="26" bestFit="1" customWidth="1"/>
    <col min="7436" max="7436" width="9" style="26" customWidth="1"/>
    <col min="7437" max="7437" width="7.25" style="26" customWidth="1"/>
    <col min="7438" max="7438" width="8.33203125" style="26" customWidth="1"/>
    <col min="7439" max="7439" width="9.75" style="26" customWidth="1"/>
    <col min="7440" max="7682" width="8.6640625" style="26"/>
    <col min="7683" max="7683" width="12.25" style="26" customWidth="1"/>
    <col min="7684" max="7684" width="16.25" style="26" customWidth="1"/>
    <col min="7685" max="7685" width="12.33203125" style="26" customWidth="1"/>
    <col min="7686" max="7686" width="10.58203125" style="26" customWidth="1"/>
    <col min="7687" max="7687" width="12.33203125" style="26" customWidth="1"/>
    <col min="7688" max="7688" width="10.58203125" style="26" customWidth="1"/>
    <col min="7689" max="7689" width="11.25" style="26" customWidth="1"/>
    <col min="7690" max="7690" width="9" style="26" customWidth="1"/>
    <col min="7691" max="7691" width="14.5" style="26" bestFit="1" customWidth="1"/>
    <col min="7692" max="7692" width="9" style="26" customWidth="1"/>
    <col min="7693" max="7693" width="7.25" style="26" customWidth="1"/>
    <col min="7694" max="7694" width="8.33203125" style="26" customWidth="1"/>
    <col min="7695" max="7695" width="9.75" style="26" customWidth="1"/>
    <col min="7696" max="7938" width="8.6640625" style="26"/>
    <col min="7939" max="7939" width="12.25" style="26" customWidth="1"/>
    <col min="7940" max="7940" width="16.25" style="26" customWidth="1"/>
    <col min="7941" max="7941" width="12.33203125" style="26" customWidth="1"/>
    <col min="7942" max="7942" width="10.58203125" style="26" customWidth="1"/>
    <col min="7943" max="7943" width="12.33203125" style="26" customWidth="1"/>
    <col min="7944" max="7944" width="10.58203125" style="26" customWidth="1"/>
    <col min="7945" max="7945" width="11.25" style="26" customWidth="1"/>
    <col min="7946" max="7946" width="9" style="26" customWidth="1"/>
    <col min="7947" max="7947" width="14.5" style="26" bestFit="1" customWidth="1"/>
    <col min="7948" max="7948" width="9" style="26" customWidth="1"/>
    <col min="7949" max="7949" width="7.25" style="26" customWidth="1"/>
    <col min="7950" max="7950" width="8.33203125" style="26" customWidth="1"/>
    <col min="7951" max="7951" width="9.75" style="26" customWidth="1"/>
    <col min="7952" max="8194" width="8.6640625" style="26"/>
    <col min="8195" max="8195" width="12.25" style="26" customWidth="1"/>
    <col min="8196" max="8196" width="16.25" style="26" customWidth="1"/>
    <col min="8197" max="8197" width="12.33203125" style="26" customWidth="1"/>
    <col min="8198" max="8198" width="10.58203125" style="26" customWidth="1"/>
    <col min="8199" max="8199" width="12.33203125" style="26" customWidth="1"/>
    <col min="8200" max="8200" width="10.58203125" style="26" customWidth="1"/>
    <col min="8201" max="8201" width="11.25" style="26" customWidth="1"/>
    <col min="8202" max="8202" width="9" style="26" customWidth="1"/>
    <col min="8203" max="8203" width="14.5" style="26" bestFit="1" customWidth="1"/>
    <col min="8204" max="8204" width="9" style="26" customWidth="1"/>
    <col min="8205" max="8205" width="7.25" style="26" customWidth="1"/>
    <col min="8206" max="8206" width="8.33203125" style="26" customWidth="1"/>
    <col min="8207" max="8207" width="9.75" style="26" customWidth="1"/>
    <col min="8208" max="8450" width="8.6640625" style="26"/>
    <col min="8451" max="8451" width="12.25" style="26" customWidth="1"/>
    <col min="8452" max="8452" width="16.25" style="26" customWidth="1"/>
    <col min="8453" max="8453" width="12.33203125" style="26" customWidth="1"/>
    <col min="8454" max="8454" width="10.58203125" style="26" customWidth="1"/>
    <col min="8455" max="8455" width="12.33203125" style="26" customWidth="1"/>
    <col min="8456" max="8456" width="10.58203125" style="26" customWidth="1"/>
    <col min="8457" max="8457" width="11.25" style="26" customWidth="1"/>
    <col min="8458" max="8458" width="9" style="26" customWidth="1"/>
    <col min="8459" max="8459" width="14.5" style="26" bestFit="1" customWidth="1"/>
    <col min="8460" max="8460" width="9" style="26" customWidth="1"/>
    <col min="8461" max="8461" width="7.25" style="26" customWidth="1"/>
    <col min="8462" max="8462" width="8.33203125" style="26" customWidth="1"/>
    <col min="8463" max="8463" width="9.75" style="26" customWidth="1"/>
    <col min="8464" max="8706" width="8.6640625" style="26"/>
    <col min="8707" max="8707" width="12.25" style="26" customWidth="1"/>
    <col min="8708" max="8708" width="16.25" style="26" customWidth="1"/>
    <col min="8709" max="8709" width="12.33203125" style="26" customWidth="1"/>
    <col min="8710" max="8710" width="10.58203125" style="26" customWidth="1"/>
    <col min="8711" max="8711" width="12.33203125" style="26" customWidth="1"/>
    <col min="8712" max="8712" width="10.58203125" style="26" customWidth="1"/>
    <col min="8713" max="8713" width="11.25" style="26" customWidth="1"/>
    <col min="8714" max="8714" width="9" style="26" customWidth="1"/>
    <col min="8715" max="8715" width="14.5" style="26" bestFit="1" customWidth="1"/>
    <col min="8716" max="8716" width="9" style="26" customWidth="1"/>
    <col min="8717" max="8717" width="7.25" style="26" customWidth="1"/>
    <col min="8718" max="8718" width="8.33203125" style="26" customWidth="1"/>
    <col min="8719" max="8719" width="9.75" style="26" customWidth="1"/>
    <col min="8720" max="8962" width="8.6640625" style="26"/>
    <col min="8963" max="8963" width="12.25" style="26" customWidth="1"/>
    <col min="8964" max="8964" width="16.25" style="26" customWidth="1"/>
    <col min="8965" max="8965" width="12.33203125" style="26" customWidth="1"/>
    <col min="8966" max="8966" width="10.58203125" style="26" customWidth="1"/>
    <col min="8967" max="8967" width="12.33203125" style="26" customWidth="1"/>
    <col min="8968" max="8968" width="10.58203125" style="26" customWidth="1"/>
    <col min="8969" max="8969" width="11.25" style="26" customWidth="1"/>
    <col min="8970" max="8970" width="9" style="26" customWidth="1"/>
    <col min="8971" max="8971" width="14.5" style="26" bestFit="1" customWidth="1"/>
    <col min="8972" max="8972" width="9" style="26" customWidth="1"/>
    <col min="8973" max="8973" width="7.25" style="26" customWidth="1"/>
    <col min="8974" max="8974" width="8.33203125" style="26" customWidth="1"/>
    <col min="8975" max="8975" width="9.75" style="26" customWidth="1"/>
    <col min="8976" max="9218" width="8.6640625" style="26"/>
    <col min="9219" max="9219" width="12.25" style="26" customWidth="1"/>
    <col min="9220" max="9220" width="16.25" style="26" customWidth="1"/>
    <col min="9221" max="9221" width="12.33203125" style="26" customWidth="1"/>
    <col min="9222" max="9222" width="10.58203125" style="26" customWidth="1"/>
    <col min="9223" max="9223" width="12.33203125" style="26" customWidth="1"/>
    <col min="9224" max="9224" width="10.58203125" style="26" customWidth="1"/>
    <col min="9225" max="9225" width="11.25" style="26" customWidth="1"/>
    <col min="9226" max="9226" width="9" style="26" customWidth="1"/>
    <col min="9227" max="9227" width="14.5" style="26" bestFit="1" customWidth="1"/>
    <col min="9228" max="9228" width="9" style="26" customWidth="1"/>
    <col min="9229" max="9229" width="7.25" style="26" customWidth="1"/>
    <col min="9230" max="9230" width="8.33203125" style="26" customWidth="1"/>
    <col min="9231" max="9231" width="9.75" style="26" customWidth="1"/>
    <col min="9232" max="9474" width="8.6640625" style="26"/>
    <col min="9475" max="9475" width="12.25" style="26" customWidth="1"/>
    <col min="9476" max="9476" width="16.25" style="26" customWidth="1"/>
    <col min="9477" max="9477" width="12.33203125" style="26" customWidth="1"/>
    <col min="9478" max="9478" width="10.58203125" style="26" customWidth="1"/>
    <col min="9479" max="9479" width="12.33203125" style="26" customWidth="1"/>
    <col min="9480" max="9480" width="10.58203125" style="26" customWidth="1"/>
    <col min="9481" max="9481" width="11.25" style="26" customWidth="1"/>
    <col min="9482" max="9482" width="9" style="26" customWidth="1"/>
    <col min="9483" max="9483" width="14.5" style="26" bestFit="1" customWidth="1"/>
    <col min="9484" max="9484" width="9" style="26" customWidth="1"/>
    <col min="9485" max="9485" width="7.25" style="26" customWidth="1"/>
    <col min="9486" max="9486" width="8.33203125" style="26" customWidth="1"/>
    <col min="9487" max="9487" width="9.75" style="26" customWidth="1"/>
    <col min="9488" max="9730" width="8.6640625" style="26"/>
    <col min="9731" max="9731" width="12.25" style="26" customWidth="1"/>
    <col min="9732" max="9732" width="16.25" style="26" customWidth="1"/>
    <col min="9733" max="9733" width="12.33203125" style="26" customWidth="1"/>
    <col min="9734" max="9734" width="10.58203125" style="26" customWidth="1"/>
    <col min="9735" max="9735" width="12.33203125" style="26" customWidth="1"/>
    <col min="9736" max="9736" width="10.58203125" style="26" customWidth="1"/>
    <col min="9737" max="9737" width="11.25" style="26" customWidth="1"/>
    <col min="9738" max="9738" width="9" style="26" customWidth="1"/>
    <col min="9739" max="9739" width="14.5" style="26" bestFit="1" customWidth="1"/>
    <col min="9740" max="9740" width="9" style="26" customWidth="1"/>
    <col min="9741" max="9741" width="7.25" style="26" customWidth="1"/>
    <col min="9742" max="9742" width="8.33203125" style="26" customWidth="1"/>
    <col min="9743" max="9743" width="9.75" style="26" customWidth="1"/>
    <col min="9744" max="9986" width="8.6640625" style="26"/>
    <col min="9987" max="9987" width="12.25" style="26" customWidth="1"/>
    <col min="9988" max="9988" width="16.25" style="26" customWidth="1"/>
    <col min="9989" max="9989" width="12.33203125" style="26" customWidth="1"/>
    <col min="9990" max="9990" width="10.58203125" style="26" customWidth="1"/>
    <col min="9991" max="9991" width="12.33203125" style="26" customWidth="1"/>
    <col min="9992" max="9992" width="10.58203125" style="26" customWidth="1"/>
    <col min="9993" max="9993" width="11.25" style="26" customWidth="1"/>
    <col min="9994" max="9994" width="9" style="26" customWidth="1"/>
    <col min="9995" max="9995" width="14.5" style="26" bestFit="1" customWidth="1"/>
    <col min="9996" max="9996" width="9" style="26" customWidth="1"/>
    <col min="9997" max="9997" width="7.25" style="26" customWidth="1"/>
    <col min="9998" max="9998" width="8.33203125" style="26" customWidth="1"/>
    <col min="9999" max="9999" width="9.75" style="26" customWidth="1"/>
    <col min="10000" max="10242" width="8.6640625" style="26"/>
    <col min="10243" max="10243" width="12.25" style="26" customWidth="1"/>
    <col min="10244" max="10244" width="16.25" style="26" customWidth="1"/>
    <col min="10245" max="10245" width="12.33203125" style="26" customWidth="1"/>
    <col min="10246" max="10246" width="10.58203125" style="26" customWidth="1"/>
    <col min="10247" max="10247" width="12.33203125" style="26" customWidth="1"/>
    <col min="10248" max="10248" width="10.58203125" style="26" customWidth="1"/>
    <col min="10249" max="10249" width="11.25" style="26" customWidth="1"/>
    <col min="10250" max="10250" width="9" style="26" customWidth="1"/>
    <col min="10251" max="10251" width="14.5" style="26" bestFit="1" customWidth="1"/>
    <col min="10252" max="10252" width="9" style="26" customWidth="1"/>
    <col min="10253" max="10253" width="7.25" style="26" customWidth="1"/>
    <col min="10254" max="10254" width="8.33203125" style="26" customWidth="1"/>
    <col min="10255" max="10255" width="9.75" style="26" customWidth="1"/>
    <col min="10256" max="10498" width="8.6640625" style="26"/>
    <col min="10499" max="10499" width="12.25" style="26" customWidth="1"/>
    <col min="10500" max="10500" width="16.25" style="26" customWidth="1"/>
    <col min="10501" max="10501" width="12.33203125" style="26" customWidth="1"/>
    <col min="10502" max="10502" width="10.58203125" style="26" customWidth="1"/>
    <col min="10503" max="10503" width="12.33203125" style="26" customWidth="1"/>
    <col min="10504" max="10504" width="10.58203125" style="26" customWidth="1"/>
    <col min="10505" max="10505" width="11.25" style="26" customWidth="1"/>
    <col min="10506" max="10506" width="9" style="26" customWidth="1"/>
    <col min="10507" max="10507" width="14.5" style="26" bestFit="1" customWidth="1"/>
    <col min="10508" max="10508" width="9" style="26" customWidth="1"/>
    <col min="10509" max="10509" width="7.25" style="26" customWidth="1"/>
    <col min="10510" max="10510" width="8.33203125" style="26" customWidth="1"/>
    <col min="10511" max="10511" width="9.75" style="26" customWidth="1"/>
    <col min="10512" max="10754" width="8.6640625" style="26"/>
    <col min="10755" max="10755" width="12.25" style="26" customWidth="1"/>
    <col min="10756" max="10756" width="16.25" style="26" customWidth="1"/>
    <col min="10757" max="10757" width="12.33203125" style="26" customWidth="1"/>
    <col min="10758" max="10758" width="10.58203125" style="26" customWidth="1"/>
    <col min="10759" max="10759" width="12.33203125" style="26" customWidth="1"/>
    <col min="10760" max="10760" width="10.58203125" style="26" customWidth="1"/>
    <col min="10761" max="10761" width="11.25" style="26" customWidth="1"/>
    <col min="10762" max="10762" width="9" style="26" customWidth="1"/>
    <col min="10763" max="10763" width="14.5" style="26" bestFit="1" customWidth="1"/>
    <col min="10764" max="10764" width="9" style="26" customWidth="1"/>
    <col min="10765" max="10765" width="7.25" style="26" customWidth="1"/>
    <col min="10766" max="10766" width="8.33203125" style="26" customWidth="1"/>
    <col min="10767" max="10767" width="9.75" style="26" customWidth="1"/>
    <col min="10768" max="11010" width="8.6640625" style="26"/>
    <col min="11011" max="11011" width="12.25" style="26" customWidth="1"/>
    <col min="11012" max="11012" width="16.25" style="26" customWidth="1"/>
    <col min="11013" max="11013" width="12.33203125" style="26" customWidth="1"/>
    <col min="11014" max="11014" width="10.58203125" style="26" customWidth="1"/>
    <col min="11015" max="11015" width="12.33203125" style="26" customWidth="1"/>
    <col min="11016" max="11016" width="10.58203125" style="26" customWidth="1"/>
    <col min="11017" max="11017" width="11.25" style="26" customWidth="1"/>
    <col min="11018" max="11018" width="9" style="26" customWidth="1"/>
    <col min="11019" max="11019" width="14.5" style="26" bestFit="1" customWidth="1"/>
    <col min="11020" max="11020" width="9" style="26" customWidth="1"/>
    <col min="11021" max="11021" width="7.25" style="26" customWidth="1"/>
    <col min="11022" max="11022" width="8.33203125" style="26" customWidth="1"/>
    <col min="11023" max="11023" width="9.75" style="26" customWidth="1"/>
    <col min="11024" max="11266" width="8.6640625" style="26"/>
    <col min="11267" max="11267" width="12.25" style="26" customWidth="1"/>
    <col min="11268" max="11268" width="16.25" style="26" customWidth="1"/>
    <col min="11269" max="11269" width="12.33203125" style="26" customWidth="1"/>
    <col min="11270" max="11270" width="10.58203125" style="26" customWidth="1"/>
    <col min="11271" max="11271" width="12.33203125" style="26" customWidth="1"/>
    <col min="11272" max="11272" width="10.58203125" style="26" customWidth="1"/>
    <col min="11273" max="11273" width="11.25" style="26" customWidth="1"/>
    <col min="11274" max="11274" width="9" style="26" customWidth="1"/>
    <col min="11275" max="11275" width="14.5" style="26" bestFit="1" customWidth="1"/>
    <col min="11276" max="11276" width="9" style="26" customWidth="1"/>
    <col min="11277" max="11277" width="7.25" style="26" customWidth="1"/>
    <col min="11278" max="11278" width="8.33203125" style="26" customWidth="1"/>
    <col min="11279" max="11279" width="9.75" style="26" customWidth="1"/>
    <col min="11280" max="11522" width="8.6640625" style="26"/>
    <col min="11523" max="11523" width="12.25" style="26" customWidth="1"/>
    <col min="11524" max="11524" width="16.25" style="26" customWidth="1"/>
    <col min="11525" max="11525" width="12.33203125" style="26" customWidth="1"/>
    <col min="11526" max="11526" width="10.58203125" style="26" customWidth="1"/>
    <col min="11527" max="11527" width="12.33203125" style="26" customWidth="1"/>
    <col min="11528" max="11528" width="10.58203125" style="26" customWidth="1"/>
    <col min="11529" max="11529" width="11.25" style="26" customWidth="1"/>
    <col min="11530" max="11530" width="9" style="26" customWidth="1"/>
    <col min="11531" max="11531" width="14.5" style="26" bestFit="1" customWidth="1"/>
    <col min="11532" max="11532" width="9" style="26" customWidth="1"/>
    <col min="11533" max="11533" width="7.25" style="26" customWidth="1"/>
    <col min="11534" max="11534" width="8.33203125" style="26" customWidth="1"/>
    <col min="11535" max="11535" width="9.75" style="26" customWidth="1"/>
    <col min="11536" max="11778" width="8.6640625" style="26"/>
    <col min="11779" max="11779" width="12.25" style="26" customWidth="1"/>
    <col min="11780" max="11780" width="16.25" style="26" customWidth="1"/>
    <col min="11781" max="11781" width="12.33203125" style="26" customWidth="1"/>
    <col min="11782" max="11782" width="10.58203125" style="26" customWidth="1"/>
    <col min="11783" max="11783" width="12.33203125" style="26" customWidth="1"/>
    <col min="11784" max="11784" width="10.58203125" style="26" customWidth="1"/>
    <col min="11785" max="11785" width="11.25" style="26" customWidth="1"/>
    <col min="11786" max="11786" width="9" style="26" customWidth="1"/>
    <col min="11787" max="11787" width="14.5" style="26" bestFit="1" customWidth="1"/>
    <col min="11788" max="11788" width="9" style="26" customWidth="1"/>
    <col min="11789" max="11789" width="7.25" style="26" customWidth="1"/>
    <col min="11790" max="11790" width="8.33203125" style="26" customWidth="1"/>
    <col min="11791" max="11791" width="9.75" style="26" customWidth="1"/>
    <col min="11792" max="12034" width="8.6640625" style="26"/>
    <col min="12035" max="12035" width="12.25" style="26" customWidth="1"/>
    <col min="12036" max="12036" width="16.25" style="26" customWidth="1"/>
    <col min="12037" max="12037" width="12.33203125" style="26" customWidth="1"/>
    <col min="12038" max="12038" width="10.58203125" style="26" customWidth="1"/>
    <col min="12039" max="12039" width="12.33203125" style="26" customWidth="1"/>
    <col min="12040" max="12040" width="10.58203125" style="26" customWidth="1"/>
    <col min="12041" max="12041" width="11.25" style="26" customWidth="1"/>
    <col min="12042" max="12042" width="9" style="26" customWidth="1"/>
    <col min="12043" max="12043" width="14.5" style="26" bestFit="1" customWidth="1"/>
    <col min="12044" max="12044" width="9" style="26" customWidth="1"/>
    <col min="12045" max="12045" width="7.25" style="26" customWidth="1"/>
    <col min="12046" max="12046" width="8.33203125" style="26" customWidth="1"/>
    <col min="12047" max="12047" width="9.75" style="26" customWidth="1"/>
    <col min="12048" max="12290" width="8.6640625" style="26"/>
    <col min="12291" max="12291" width="12.25" style="26" customWidth="1"/>
    <col min="12292" max="12292" width="16.25" style="26" customWidth="1"/>
    <col min="12293" max="12293" width="12.33203125" style="26" customWidth="1"/>
    <col min="12294" max="12294" width="10.58203125" style="26" customWidth="1"/>
    <col min="12295" max="12295" width="12.33203125" style="26" customWidth="1"/>
    <col min="12296" max="12296" width="10.58203125" style="26" customWidth="1"/>
    <col min="12297" max="12297" width="11.25" style="26" customWidth="1"/>
    <col min="12298" max="12298" width="9" style="26" customWidth="1"/>
    <col min="12299" max="12299" width="14.5" style="26" bestFit="1" customWidth="1"/>
    <col min="12300" max="12300" width="9" style="26" customWidth="1"/>
    <col min="12301" max="12301" width="7.25" style="26" customWidth="1"/>
    <col min="12302" max="12302" width="8.33203125" style="26" customWidth="1"/>
    <col min="12303" max="12303" width="9.75" style="26" customWidth="1"/>
    <col min="12304" max="12546" width="8.6640625" style="26"/>
    <col min="12547" max="12547" width="12.25" style="26" customWidth="1"/>
    <col min="12548" max="12548" width="16.25" style="26" customWidth="1"/>
    <col min="12549" max="12549" width="12.33203125" style="26" customWidth="1"/>
    <col min="12550" max="12550" width="10.58203125" style="26" customWidth="1"/>
    <col min="12551" max="12551" width="12.33203125" style="26" customWidth="1"/>
    <col min="12552" max="12552" width="10.58203125" style="26" customWidth="1"/>
    <col min="12553" max="12553" width="11.25" style="26" customWidth="1"/>
    <col min="12554" max="12554" width="9" style="26" customWidth="1"/>
    <col min="12555" max="12555" width="14.5" style="26" bestFit="1" customWidth="1"/>
    <col min="12556" max="12556" width="9" style="26" customWidth="1"/>
    <col min="12557" max="12557" width="7.25" style="26" customWidth="1"/>
    <col min="12558" max="12558" width="8.33203125" style="26" customWidth="1"/>
    <col min="12559" max="12559" width="9.75" style="26" customWidth="1"/>
    <col min="12560" max="12802" width="8.6640625" style="26"/>
    <col min="12803" max="12803" width="12.25" style="26" customWidth="1"/>
    <col min="12804" max="12804" width="16.25" style="26" customWidth="1"/>
    <col min="12805" max="12805" width="12.33203125" style="26" customWidth="1"/>
    <col min="12806" max="12806" width="10.58203125" style="26" customWidth="1"/>
    <col min="12807" max="12807" width="12.33203125" style="26" customWidth="1"/>
    <col min="12808" max="12808" width="10.58203125" style="26" customWidth="1"/>
    <col min="12809" max="12809" width="11.25" style="26" customWidth="1"/>
    <col min="12810" max="12810" width="9" style="26" customWidth="1"/>
    <col min="12811" max="12811" width="14.5" style="26" bestFit="1" customWidth="1"/>
    <col min="12812" max="12812" width="9" style="26" customWidth="1"/>
    <col min="12813" max="12813" width="7.25" style="26" customWidth="1"/>
    <col min="12814" max="12814" width="8.33203125" style="26" customWidth="1"/>
    <col min="12815" max="12815" width="9.75" style="26" customWidth="1"/>
    <col min="12816" max="13058" width="8.6640625" style="26"/>
    <col min="13059" max="13059" width="12.25" style="26" customWidth="1"/>
    <col min="13060" max="13060" width="16.25" style="26" customWidth="1"/>
    <col min="13061" max="13061" width="12.33203125" style="26" customWidth="1"/>
    <col min="13062" max="13062" width="10.58203125" style="26" customWidth="1"/>
    <col min="13063" max="13063" width="12.33203125" style="26" customWidth="1"/>
    <col min="13064" max="13064" width="10.58203125" style="26" customWidth="1"/>
    <col min="13065" max="13065" width="11.25" style="26" customWidth="1"/>
    <col min="13066" max="13066" width="9" style="26" customWidth="1"/>
    <col min="13067" max="13067" width="14.5" style="26" bestFit="1" customWidth="1"/>
    <col min="13068" max="13068" width="9" style="26" customWidth="1"/>
    <col min="13069" max="13069" width="7.25" style="26" customWidth="1"/>
    <col min="13070" max="13070" width="8.33203125" style="26" customWidth="1"/>
    <col min="13071" max="13071" width="9.75" style="26" customWidth="1"/>
    <col min="13072" max="13314" width="8.6640625" style="26"/>
    <col min="13315" max="13315" width="12.25" style="26" customWidth="1"/>
    <col min="13316" max="13316" width="16.25" style="26" customWidth="1"/>
    <col min="13317" max="13317" width="12.33203125" style="26" customWidth="1"/>
    <col min="13318" max="13318" width="10.58203125" style="26" customWidth="1"/>
    <col min="13319" max="13319" width="12.33203125" style="26" customWidth="1"/>
    <col min="13320" max="13320" width="10.58203125" style="26" customWidth="1"/>
    <col min="13321" max="13321" width="11.25" style="26" customWidth="1"/>
    <col min="13322" max="13322" width="9" style="26" customWidth="1"/>
    <col min="13323" max="13323" width="14.5" style="26" bestFit="1" customWidth="1"/>
    <col min="13324" max="13324" width="9" style="26" customWidth="1"/>
    <col min="13325" max="13325" width="7.25" style="26" customWidth="1"/>
    <col min="13326" max="13326" width="8.33203125" style="26" customWidth="1"/>
    <col min="13327" max="13327" width="9.75" style="26" customWidth="1"/>
    <col min="13328" max="13570" width="8.6640625" style="26"/>
    <col min="13571" max="13571" width="12.25" style="26" customWidth="1"/>
    <col min="13572" max="13572" width="16.25" style="26" customWidth="1"/>
    <col min="13573" max="13573" width="12.33203125" style="26" customWidth="1"/>
    <col min="13574" max="13574" width="10.58203125" style="26" customWidth="1"/>
    <col min="13575" max="13575" width="12.33203125" style="26" customWidth="1"/>
    <col min="13576" max="13576" width="10.58203125" style="26" customWidth="1"/>
    <col min="13577" max="13577" width="11.25" style="26" customWidth="1"/>
    <col min="13578" max="13578" width="9" style="26" customWidth="1"/>
    <col min="13579" max="13579" width="14.5" style="26" bestFit="1" customWidth="1"/>
    <col min="13580" max="13580" width="9" style="26" customWidth="1"/>
    <col min="13581" max="13581" width="7.25" style="26" customWidth="1"/>
    <col min="13582" max="13582" width="8.33203125" style="26" customWidth="1"/>
    <col min="13583" max="13583" width="9.75" style="26" customWidth="1"/>
    <col min="13584" max="13826" width="8.6640625" style="26"/>
    <col min="13827" max="13827" width="12.25" style="26" customWidth="1"/>
    <col min="13828" max="13828" width="16.25" style="26" customWidth="1"/>
    <col min="13829" max="13829" width="12.33203125" style="26" customWidth="1"/>
    <col min="13830" max="13830" width="10.58203125" style="26" customWidth="1"/>
    <col min="13831" max="13831" width="12.33203125" style="26" customWidth="1"/>
    <col min="13832" max="13832" width="10.58203125" style="26" customWidth="1"/>
    <col min="13833" max="13833" width="11.25" style="26" customWidth="1"/>
    <col min="13834" max="13834" width="9" style="26" customWidth="1"/>
    <col min="13835" max="13835" width="14.5" style="26" bestFit="1" customWidth="1"/>
    <col min="13836" max="13836" width="9" style="26" customWidth="1"/>
    <col min="13837" max="13837" width="7.25" style="26" customWidth="1"/>
    <col min="13838" max="13838" width="8.33203125" style="26" customWidth="1"/>
    <col min="13839" max="13839" width="9.75" style="26" customWidth="1"/>
    <col min="13840" max="14082" width="8.6640625" style="26"/>
    <col min="14083" max="14083" width="12.25" style="26" customWidth="1"/>
    <col min="14084" max="14084" width="16.25" style="26" customWidth="1"/>
    <col min="14085" max="14085" width="12.33203125" style="26" customWidth="1"/>
    <col min="14086" max="14086" width="10.58203125" style="26" customWidth="1"/>
    <col min="14087" max="14087" width="12.33203125" style="26" customWidth="1"/>
    <col min="14088" max="14088" width="10.58203125" style="26" customWidth="1"/>
    <col min="14089" max="14089" width="11.25" style="26" customWidth="1"/>
    <col min="14090" max="14090" width="9" style="26" customWidth="1"/>
    <col min="14091" max="14091" width="14.5" style="26" bestFit="1" customWidth="1"/>
    <col min="14092" max="14092" width="9" style="26" customWidth="1"/>
    <col min="14093" max="14093" width="7.25" style="26" customWidth="1"/>
    <col min="14094" max="14094" width="8.33203125" style="26" customWidth="1"/>
    <col min="14095" max="14095" width="9.75" style="26" customWidth="1"/>
    <col min="14096" max="14338" width="8.6640625" style="26"/>
    <col min="14339" max="14339" width="12.25" style="26" customWidth="1"/>
    <col min="14340" max="14340" width="16.25" style="26" customWidth="1"/>
    <col min="14341" max="14341" width="12.33203125" style="26" customWidth="1"/>
    <col min="14342" max="14342" width="10.58203125" style="26" customWidth="1"/>
    <col min="14343" max="14343" width="12.33203125" style="26" customWidth="1"/>
    <col min="14344" max="14344" width="10.58203125" style="26" customWidth="1"/>
    <col min="14345" max="14345" width="11.25" style="26" customWidth="1"/>
    <col min="14346" max="14346" width="9" style="26" customWidth="1"/>
    <col min="14347" max="14347" width="14.5" style="26" bestFit="1" customWidth="1"/>
    <col min="14348" max="14348" width="9" style="26" customWidth="1"/>
    <col min="14349" max="14349" width="7.25" style="26" customWidth="1"/>
    <col min="14350" max="14350" width="8.33203125" style="26" customWidth="1"/>
    <col min="14351" max="14351" width="9.75" style="26" customWidth="1"/>
    <col min="14352" max="14594" width="8.6640625" style="26"/>
    <col min="14595" max="14595" width="12.25" style="26" customWidth="1"/>
    <col min="14596" max="14596" width="16.25" style="26" customWidth="1"/>
    <col min="14597" max="14597" width="12.33203125" style="26" customWidth="1"/>
    <col min="14598" max="14598" width="10.58203125" style="26" customWidth="1"/>
    <col min="14599" max="14599" width="12.33203125" style="26" customWidth="1"/>
    <col min="14600" max="14600" width="10.58203125" style="26" customWidth="1"/>
    <col min="14601" max="14601" width="11.25" style="26" customWidth="1"/>
    <col min="14602" max="14602" width="9" style="26" customWidth="1"/>
    <col min="14603" max="14603" width="14.5" style="26" bestFit="1" customWidth="1"/>
    <col min="14604" max="14604" width="9" style="26" customWidth="1"/>
    <col min="14605" max="14605" width="7.25" style="26" customWidth="1"/>
    <col min="14606" max="14606" width="8.33203125" style="26" customWidth="1"/>
    <col min="14607" max="14607" width="9.75" style="26" customWidth="1"/>
    <col min="14608" max="14850" width="8.6640625" style="26"/>
    <col min="14851" max="14851" width="12.25" style="26" customWidth="1"/>
    <col min="14852" max="14852" width="16.25" style="26" customWidth="1"/>
    <col min="14853" max="14853" width="12.33203125" style="26" customWidth="1"/>
    <col min="14854" max="14854" width="10.58203125" style="26" customWidth="1"/>
    <col min="14855" max="14855" width="12.33203125" style="26" customWidth="1"/>
    <col min="14856" max="14856" width="10.58203125" style="26" customWidth="1"/>
    <col min="14857" max="14857" width="11.25" style="26" customWidth="1"/>
    <col min="14858" max="14858" width="9" style="26" customWidth="1"/>
    <col min="14859" max="14859" width="14.5" style="26" bestFit="1" customWidth="1"/>
    <col min="14860" max="14860" width="9" style="26" customWidth="1"/>
    <col min="14861" max="14861" width="7.25" style="26" customWidth="1"/>
    <col min="14862" max="14862" width="8.33203125" style="26" customWidth="1"/>
    <col min="14863" max="14863" width="9.75" style="26" customWidth="1"/>
    <col min="14864" max="15106" width="8.6640625" style="26"/>
    <col min="15107" max="15107" width="12.25" style="26" customWidth="1"/>
    <col min="15108" max="15108" width="16.25" style="26" customWidth="1"/>
    <col min="15109" max="15109" width="12.33203125" style="26" customWidth="1"/>
    <col min="15110" max="15110" width="10.58203125" style="26" customWidth="1"/>
    <col min="15111" max="15111" width="12.33203125" style="26" customWidth="1"/>
    <col min="15112" max="15112" width="10.58203125" style="26" customWidth="1"/>
    <col min="15113" max="15113" width="11.25" style="26" customWidth="1"/>
    <col min="15114" max="15114" width="9" style="26" customWidth="1"/>
    <col min="15115" max="15115" width="14.5" style="26" bestFit="1" customWidth="1"/>
    <col min="15116" max="15116" width="9" style="26" customWidth="1"/>
    <col min="15117" max="15117" width="7.25" style="26" customWidth="1"/>
    <col min="15118" max="15118" width="8.33203125" style="26" customWidth="1"/>
    <col min="15119" max="15119" width="9.75" style="26" customWidth="1"/>
    <col min="15120" max="15362" width="8.6640625" style="26"/>
    <col min="15363" max="15363" width="12.25" style="26" customWidth="1"/>
    <col min="15364" max="15364" width="16.25" style="26" customWidth="1"/>
    <col min="15365" max="15365" width="12.33203125" style="26" customWidth="1"/>
    <col min="15366" max="15366" width="10.58203125" style="26" customWidth="1"/>
    <col min="15367" max="15367" width="12.33203125" style="26" customWidth="1"/>
    <col min="15368" max="15368" width="10.58203125" style="26" customWidth="1"/>
    <col min="15369" max="15369" width="11.25" style="26" customWidth="1"/>
    <col min="15370" max="15370" width="9" style="26" customWidth="1"/>
    <col min="15371" max="15371" width="14.5" style="26" bestFit="1" customWidth="1"/>
    <col min="15372" max="15372" width="9" style="26" customWidth="1"/>
    <col min="15373" max="15373" width="7.25" style="26" customWidth="1"/>
    <col min="15374" max="15374" width="8.33203125" style="26" customWidth="1"/>
    <col min="15375" max="15375" width="9.75" style="26" customWidth="1"/>
    <col min="15376" max="15618" width="8.6640625" style="26"/>
    <col min="15619" max="15619" width="12.25" style="26" customWidth="1"/>
    <col min="15620" max="15620" width="16.25" style="26" customWidth="1"/>
    <col min="15621" max="15621" width="12.33203125" style="26" customWidth="1"/>
    <col min="15622" max="15622" width="10.58203125" style="26" customWidth="1"/>
    <col min="15623" max="15623" width="12.33203125" style="26" customWidth="1"/>
    <col min="15624" max="15624" width="10.58203125" style="26" customWidth="1"/>
    <col min="15625" max="15625" width="11.25" style="26" customWidth="1"/>
    <col min="15626" max="15626" width="9" style="26" customWidth="1"/>
    <col min="15627" max="15627" width="14.5" style="26" bestFit="1" customWidth="1"/>
    <col min="15628" max="15628" width="9" style="26" customWidth="1"/>
    <col min="15629" max="15629" width="7.25" style="26" customWidth="1"/>
    <col min="15630" max="15630" width="8.33203125" style="26" customWidth="1"/>
    <col min="15631" max="15631" width="9.75" style="26" customWidth="1"/>
    <col min="15632" max="15874" width="8.6640625" style="26"/>
    <col min="15875" max="15875" width="12.25" style="26" customWidth="1"/>
    <col min="15876" max="15876" width="16.25" style="26" customWidth="1"/>
    <col min="15877" max="15877" width="12.33203125" style="26" customWidth="1"/>
    <col min="15878" max="15878" width="10.58203125" style="26" customWidth="1"/>
    <col min="15879" max="15879" width="12.33203125" style="26" customWidth="1"/>
    <col min="15880" max="15880" width="10.58203125" style="26" customWidth="1"/>
    <col min="15881" max="15881" width="11.25" style="26" customWidth="1"/>
    <col min="15882" max="15882" width="9" style="26" customWidth="1"/>
    <col min="15883" max="15883" width="14.5" style="26" bestFit="1" customWidth="1"/>
    <col min="15884" max="15884" width="9" style="26" customWidth="1"/>
    <col min="15885" max="15885" width="7.25" style="26" customWidth="1"/>
    <col min="15886" max="15886" width="8.33203125" style="26" customWidth="1"/>
    <col min="15887" max="15887" width="9.75" style="26" customWidth="1"/>
    <col min="15888" max="16130" width="8.6640625" style="26"/>
    <col min="16131" max="16131" width="12.25" style="26" customWidth="1"/>
    <col min="16132" max="16132" width="16.25" style="26" customWidth="1"/>
    <col min="16133" max="16133" width="12.33203125" style="26" customWidth="1"/>
    <col min="16134" max="16134" width="10.58203125" style="26" customWidth="1"/>
    <col min="16135" max="16135" width="12.33203125" style="26" customWidth="1"/>
    <col min="16136" max="16136" width="10.58203125" style="26" customWidth="1"/>
    <col min="16137" max="16137" width="11.25" style="26" customWidth="1"/>
    <col min="16138" max="16138" width="9" style="26" customWidth="1"/>
    <col min="16139" max="16139" width="14.5" style="26" bestFit="1" customWidth="1"/>
    <col min="16140" max="16140" width="9" style="26" customWidth="1"/>
    <col min="16141" max="16141" width="7.25" style="26" customWidth="1"/>
    <col min="16142" max="16142" width="8.33203125" style="26" customWidth="1"/>
    <col min="16143" max="16143" width="9.75" style="26" customWidth="1"/>
    <col min="16144" max="16384" width="8.6640625" style="26"/>
  </cols>
  <sheetData>
    <row r="1" spans="1:27" s="1" customFormat="1" ht="10" customHeight="1" x14ac:dyDescent="0.45">
      <c r="D1" s="2"/>
      <c r="F1" s="2"/>
      <c r="H1" s="2"/>
      <c r="J1" s="2"/>
      <c r="N1" s="54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</row>
    <row r="2" spans="1:27" s="1" customFormat="1" ht="25" customHeight="1" x14ac:dyDescent="0.45">
      <c r="A2" s="3"/>
      <c r="F2" s="2"/>
      <c r="H2" s="2"/>
      <c r="J2" s="2"/>
      <c r="N2" s="54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</row>
    <row r="3" spans="1:27" s="1" customFormat="1" ht="24.75" customHeight="1" x14ac:dyDescent="0.45">
      <c r="A3" s="4" t="s">
        <v>48</v>
      </c>
      <c r="F3" s="2"/>
      <c r="H3" s="2"/>
      <c r="J3" s="2"/>
      <c r="N3" s="54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</row>
    <row r="4" spans="1:27" s="1" customFormat="1" ht="20.149999999999999" customHeight="1" x14ac:dyDescent="0.45">
      <c r="A4" s="5" t="s">
        <v>0</v>
      </c>
      <c r="D4" s="2"/>
      <c r="F4" s="2"/>
      <c r="H4" s="2"/>
      <c r="J4" s="2"/>
      <c r="N4" s="54"/>
      <c r="O4" s="184">
        <v>46082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</row>
    <row r="5" spans="1:27" s="7" customFormat="1" ht="12" customHeight="1" thickBot="1" x14ac:dyDescent="0.5">
      <c r="A5" s="34"/>
      <c r="B5" s="26"/>
      <c r="C5" s="1"/>
      <c r="D5" s="2"/>
      <c r="E5" s="1"/>
      <c r="F5" s="6"/>
      <c r="G5" s="26"/>
      <c r="H5" s="29"/>
      <c r="I5" s="26"/>
      <c r="J5" s="29"/>
      <c r="K5" s="62" t="s">
        <v>1</v>
      </c>
      <c r="L5" s="62"/>
      <c r="M5" s="6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</row>
    <row r="6" spans="1:27" s="7" customFormat="1" ht="18" customHeight="1" x14ac:dyDescent="0.45">
      <c r="A6" s="250" t="s">
        <v>2</v>
      </c>
      <c r="B6" s="248" t="s">
        <v>3</v>
      </c>
      <c r="C6" s="252">
        <f>$O$4</f>
        <v>46082</v>
      </c>
      <c r="D6" s="306"/>
      <c r="E6" s="254">
        <f>$O$4</f>
        <v>46082</v>
      </c>
      <c r="F6" s="307"/>
      <c r="G6" s="256">
        <f>$O$4</f>
        <v>46082</v>
      </c>
      <c r="H6" s="308"/>
      <c r="I6" s="255" t="s">
        <v>5</v>
      </c>
      <c r="J6" s="253"/>
      <c r="K6" s="248" t="s">
        <v>6</v>
      </c>
      <c r="L6" s="87"/>
      <c r="M6" s="8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</row>
    <row r="7" spans="1:27" s="7" customFormat="1" ht="18" customHeight="1" thickBot="1" x14ac:dyDescent="0.5">
      <c r="A7" s="251"/>
      <c r="B7" s="249"/>
      <c r="C7" s="35" t="s">
        <v>7</v>
      </c>
      <c r="D7" s="36" t="s">
        <v>8</v>
      </c>
      <c r="E7" s="37" t="s">
        <v>45</v>
      </c>
      <c r="F7" s="9" t="s">
        <v>10</v>
      </c>
      <c r="G7" s="35" t="s">
        <v>9</v>
      </c>
      <c r="H7" s="9" t="s">
        <v>10</v>
      </c>
      <c r="I7" s="8" t="s">
        <v>9</v>
      </c>
      <c r="J7" s="10" t="s">
        <v>10</v>
      </c>
      <c r="K7" s="249"/>
      <c r="L7" s="87"/>
      <c r="M7" s="87"/>
      <c r="O7" s="213">
        <f>'노동2603실적(사업부별)'!N7</f>
        <v>46023</v>
      </c>
      <c r="P7" s="213">
        <f>'노동2603실적(사업부별)'!O7</f>
        <v>46054</v>
      </c>
      <c r="Q7" s="213">
        <f>'노동2603실적(사업부별)'!P7</f>
        <v>46082</v>
      </c>
      <c r="R7" s="213">
        <f>'노동2603실적(사업부별)'!Q7</f>
        <v>46113</v>
      </c>
      <c r="S7" s="213">
        <f>'노동2603실적(사업부별)'!R7</f>
        <v>46143</v>
      </c>
      <c r="T7" s="213">
        <f>'노동2603실적(사업부별)'!S7</f>
        <v>46174</v>
      </c>
      <c r="U7" s="213">
        <f>'노동2603실적(사업부별)'!T7</f>
        <v>46204</v>
      </c>
      <c r="V7" s="213">
        <f>'노동2603실적(사업부별)'!U7</f>
        <v>46235</v>
      </c>
      <c r="W7" s="213">
        <f>'노동2603실적(사업부별)'!V7</f>
        <v>46266</v>
      </c>
      <c r="X7" s="213">
        <f>'노동2603실적(사업부별)'!W7</f>
        <v>46296</v>
      </c>
      <c r="Y7" s="213">
        <f>'노동2603실적(사업부별)'!X7</f>
        <v>46327</v>
      </c>
      <c r="Z7" s="213">
        <f>'노동2603실적(사업부별)'!Y7</f>
        <v>46357</v>
      </c>
      <c r="AA7" s="82"/>
    </row>
    <row r="8" spans="1:27" s="7" customFormat="1" ht="19" customHeight="1" x14ac:dyDescent="0.45">
      <c r="A8" s="300" t="s">
        <v>11</v>
      </c>
      <c r="B8" s="11" t="s">
        <v>12</v>
      </c>
      <c r="C8" s="94">
        <v>1243891.1956520043</v>
      </c>
      <c r="D8" s="301">
        <f>C8/C9</f>
        <v>0.24976556239856237</v>
      </c>
      <c r="E8" s="96">
        <v>1161484</v>
      </c>
      <c r="F8" s="302">
        <f>E8/E9</f>
        <v>0.24772586020604079</v>
      </c>
      <c r="G8" s="14">
        <f>'노동2603실적(사업부별)'!$G$8</f>
        <v>1156248</v>
      </c>
      <c r="H8" s="302">
        <f>G8/G9</f>
        <v>0.23849129270651628</v>
      </c>
      <c r="I8" s="13">
        <f>SUBTOTAL(109,$O$8:$Z$8)</f>
        <v>2948182</v>
      </c>
      <c r="J8" s="303">
        <f>I8/I9</f>
        <v>0.23882398276620323</v>
      </c>
      <c r="K8" s="305"/>
      <c r="L8" s="88"/>
      <c r="M8" s="88"/>
      <c r="N8" s="82"/>
      <c r="O8" s="82">
        <f>'노동2603실적(사업부별)'!N$8</f>
        <v>923950</v>
      </c>
      <c r="P8" s="82">
        <f>'노동2603실적(사업부별)'!O$8</f>
        <v>867984</v>
      </c>
      <c r="Q8" s="82">
        <f>'노동2603실적(사업부별)'!P$8</f>
        <v>1156248</v>
      </c>
      <c r="R8" s="82">
        <f>'노동2603실적(사업부별)'!Q$8</f>
        <v>0</v>
      </c>
      <c r="S8" s="82">
        <f>'노동2603실적(사업부별)'!R$8</f>
        <v>0</v>
      </c>
      <c r="T8" s="82">
        <f>'노동2603실적(사업부별)'!S$8</f>
        <v>0</v>
      </c>
      <c r="U8" s="82">
        <f>'노동2603실적(사업부별)'!T$8</f>
        <v>0</v>
      </c>
      <c r="V8" s="82">
        <f>'노동2603실적(사업부별)'!U$8</f>
        <v>0</v>
      </c>
      <c r="W8" s="82">
        <f>'노동2603실적(사업부별)'!V$8</f>
        <v>0</v>
      </c>
      <c r="X8" s="82">
        <f>'노동2603실적(사업부별)'!W$8</f>
        <v>0</v>
      </c>
      <c r="Y8" s="82">
        <f>'노동2603실적(사업부별)'!X$8</f>
        <v>0</v>
      </c>
      <c r="Z8" s="82">
        <f>'노동2603실적(사업부별)'!Y$8</f>
        <v>0</v>
      </c>
    </row>
    <row r="9" spans="1:27" s="7" customFormat="1" ht="19" customHeight="1" x14ac:dyDescent="0.45">
      <c r="A9" s="235"/>
      <c r="B9" s="15" t="s">
        <v>13</v>
      </c>
      <c r="C9" s="95">
        <v>4980235</v>
      </c>
      <c r="D9" s="293"/>
      <c r="E9" s="97">
        <v>4688586</v>
      </c>
      <c r="F9" s="295"/>
      <c r="G9" s="17">
        <f>'노동2603실적(사업부별)'!$G$9</f>
        <v>4848177</v>
      </c>
      <c r="H9" s="295"/>
      <c r="I9" s="16">
        <f>SUBTOTAL(109,$O$9:$Z$9)</f>
        <v>12344581</v>
      </c>
      <c r="J9" s="304"/>
      <c r="K9" s="284"/>
      <c r="L9" s="88"/>
      <c r="M9" s="88"/>
      <c r="N9" s="82"/>
      <c r="O9" s="82">
        <f>'노동2603실적(사업부별)'!N$9</f>
        <v>3925072</v>
      </c>
      <c r="P9" s="82">
        <f>'노동2603실적(사업부별)'!O$9</f>
        <v>3571332</v>
      </c>
      <c r="Q9" s="82">
        <f>'노동2603실적(사업부별)'!P$9</f>
        <v>4848177</v>
      </c>
      <c r="R9" s="82">
        <f>'노동2603실적(사업부별)'!Q$9</f>
        <v>0</v>
      </c>
      <c r="S9" s="82">
        <f>'노동2603실적(사업부별)'!R$9</f>
        <v>0</v>
      </c>
      <c r="T9" s="82">
        <f>'노동2603실적(사업부별)'!S$9</f>
        <v>0</v>
      </c>
      <c r="U9" s="82">
        <f>'노동2603실적(사업부별)'!T$9</f>
        <v>0</v>
      </c>
      <c r="V9" s="82">
        <f>'노동2603실적(사업부별)'!U$9</f>
        <v>0</v>
      </c>
      <c r="W9" s="82">
        <f>'노동2603실적(사업부별)'!V$9</f>
        <v>0</v>
      </c>
      <c r="X9" s="82">
        <f>'노동2603실적(사업부별)'!W$9</f>
        <v>0</v>
      </c>
      <c r="Y9" s="82">
        <f>'노동2603실적(사업부별)'!X$9</f>
        <v>0</v>
      </c>
      <c r="Z9" s="82">
        <f>'노동2603실적(사업부별)'!Y$9</f>
        <v>0</v>
      </c>
    </row>
    <row r="10" spans="1:27" s="7" customFormat="1" ht="19" customHeight="1" x14ac:dyDescent="0.45">
      <c r="A10" s="220" t="s">
        <v>46</v>
      </c>
      <c r="B10" s="11" t="s">
        <v>12</v>
      </c>
      <c r="C10" s="55">
        <f>$C$8</f>
        <v>1243891.1956520043</v>
      </c>
      <c r="D10" s="269">
        <f>C10/C11</f>
        <v>12195.011722078474</v>
      </c>
      <c r="E10" s="46">
        <f>$E$8</f>
        <v>1161484</v>
      </c>
      <c r="F10" s="281">
        <f>E10/E11</f>
        <v>11387.098039215687</v>
      </c>
      <c r="G10" s="55">
        <f>$G$8</f>
        <v>1156248</v>
      </c>
      <c r="H10" s="271">
        <f>G10/G11</f>
        <v>11335.764705882353</v>
      </c>
      <c r="I10" s="45">
        <f>$I$8</f>
        <v>2948182</v>
      </c>
      <c r="J10" s="298">
        <f>I10/I11</f>
        <v>9572.0194805194806</v>
      </c>
      <c r="K10" s="228"/>
      <c r="L10" s="89"/>
      <c r="M10" s="89"/>
      <c r="O10" s="213">
        <f>O7</f>
        <v>46023</v>
      </c>
      <c r="P10" s="213">
        <f t="shared" ref="P10:Z10" si="0">P7</f>
        <v>46054</v>
      </c>
      <c r="Q10" s="213">
        <f t="shared" si="0"/>
        <v>46082</v>
      </c>
      <c r="R10" s="213">
        <f t="shared" si="0"/>
        <v>46113</v>
      </c>
      <c r="S10" s="213">
        <f t="shared" si="0"/>
        <v>46143</v>
      </c>
      <c r="T10" s="213">
        <f t="shared" si="0"/>
        <v>46174</v>
      </c>
      <c r="U10" s="213">
        <f t="shared" si="0"/>
        <v>46204</v>
      </c>
      <c r="V10" s="213">
        <f t="shared" si="0"/>
        <v>46235</v>
      </c>
      <c r="W10" s="213">
        <f t="shared" si="0"/>
        <v>46266</v>
      </c>
      <c r="X10" s="213">
        <f t="shared" si="0"/>
        <v>46296</v>
      </c>
      <c r="Y10" s="213">
        <f t="shared" si="0"/>
        <v>46327</v>
      </c>
      <c r="Z10" s="213">
        <f t="shared" si="0"/>
        <v>46357</v>
      </c>
      <c r="AA10" s="82"/>
    </row>
    <row r="11" spans="1:27" s="7" customFormat="1" ht="19" customHeight="1" x14ac:dyDescent="0.45">
      <c r="A11" s="235"/>
      <c r="B11" s="15" t="s">
        <v>14</v>
      </c>
      <c r="C11" s="56">
        <f>'노동2603실적(사업부별)'!$G$11</f>
        <v>102</v>
      </c>
      <c r="D11" s="277"/>
      <c r="E11" s="47">
        <f>$C$11</f>
        <v>102</v>
      </c>
      <c r="F11" s="282"/>
      <c r="G11" s="56">
        <f>'노동2603실적(사업부별)'!$G$11</f>
        <v>102</v>
      </c>
      <c r="H11" s="278"/>
      <c r="I11" s="44">
        <f>SUBTOTAL(109,$O$11:$Z$11)</f>
        <v>308</v>
      </c>
      <c r="J11" s="299"/>
      <c r="K11" s="231"/>
      <c r="L11" s="89"/>
      <c r="M11" s="89"/>
      <c r="N11" s="82"/>
      <c r="O11" s="82">
        <f>'노동2603실적(사업부별)'!N$11</f>
        <v>103</v>
      </c>
      <c r="P11" s="82">
        <f>'노동2603실적(사업부별)'!O$11</f>
        <v>103</v>
      </c>
      <c r="Q11" s="82">
        <f>'노동2603실적(사업부별)'!P$11</f>
        <v>102</v>
      </c>
      <c r="R11" s="82">
        <f>'노동2603실적(사업부별)'!Q$11</f>
        <v>0</v>
      </c>
      <c r="S11" s="82">
        <f>'노동2603실적(사업부별)'!R$11</f>
        <v>0</v>
      </c>
      <c r="T11" s="82">
        <f>'노동2603실적(사업부별)'!S$11</f>
        <v>0</v>
      </c>
      <c r="U11" s="82">
        <f>'노동2603실적(사업부별)'!T$11</f>
        <v>0</v>
      </c>
      <c r="V11" s="82">
        <f>'노동2603실적(사업부별)'!U$11</f>
        <v>0</v>
      </c>
      <c r="W11" s="82">
        <f>'노동2603실적(사업부별)'!V$11</f>
        <v>0</v>
      </c>
      <c r="X11" s="82">
        <f>'노동2603실적(사업부별)'!W$11</f>
        <v>0</v>
      </c>
      <c r="Y11" s="82">
        <f>'노동2603실적(사업부별)'!X$11</f>
        <v>0</v>
      </c>
      <c r="Z11" s="82">
        <f>'노동2603실적(사업부별)'!Y$11</f>
        <v>0</v>
      </c>
    </row>
    <row r="12" spans="1:27" s="7" customFormat="1" ht="19" customHeight="1" x14ac:dyDescent="0.45">
      <c r="A12" s="274" t="s">
        <v>15</v>
      </c>
      <c r="B12" s="11" t="s">
        <v>16</v>
      </c>
      <c r="C12" s="98">
        <v>403457.33999999997</v>
      </c>
      <c r="D12" s="292">
        <f>C12/C13</f>
        <v>0.32435098938739709</v>
      </c>
      <c r="E12" s="99">
        <v>393395</v>
      </c>
      <c r="F12" s="294">
        <f>E12/E13</f>
        <v>0.33870031786920868</v>
      </c>
      <c r="G12" s="19">
        <f>'노동2603실적(사업부별)'!$G$12</f>
        <v>360521</v>
      </c>
      <c r="H12" s="294">
        <f>G12/G13</f>
        <v>0.31180248527997456</v>
      </c>
      <c r="I12" s="55">
        <f>SUBTOTAL(109,$O$12:$Z$12)+L12</f>
        <v>1099396</v>
      </c>
      <c r="J12" s="296">
        <f>I12/I13</f>
        <v>0.37290642165239457</v>
      </c>
      <c r="K12" s="283"/>
      <c r="M12" s="88"/>
      <c r="N12" s="82"/>
      <c r="O12" s="82">
        <f>'노동2603실적(사업부별)'!N$12</f>
        <v>371215</v>
      </c>
      <c r="P12" s="82">
        <f>'노동2603실적(사업부별)'!O$12</f>
        <v>367660</v>
      </c>
      <c r="Q12" s="82">
        <f>'노동2603실적(사업부별)'!P$12</f>
        <v>360521</v>
      </c>
      <c r="R12" s="82">
        <f>'노동2603실적(사업부별)'!Q$12</f>
        <v>0</v>
      </c>
      <c r="S12" s="82">
        <f>'노동2603실적(사업부별)'!R$12</f>
        <v>0</v>
      </c>
      <c r="T12" s="82">
        <f>'노동2603실적(사업부별)'!S$12</f>
        <v>0</v>
      </c>
      <c r="U12" s="82">
        <f>'노동2603실적(사업부별)'!T$12</f>
        <v>0</v>
      </c>
      <c r="V12" s="82">
        <f>'노동2603실적(사업부별)'!U$12</f>
        <v>0</v>
      </c>
      <c r="W12" s="82">
        <f>'노동2603실적(사업부별)'!V$12</f>
        <v>0</v>
      </c>
      <c r="X12" s="82">
        <f>'노동2603실적(사업부별)'!W$12</f>
        <v>0</v>
      </c>
      <c r="Y12" s="82">
        <f>'노동2603실적(사업부별)'!X$12</f>
        <v>0</v>
      </c>
      <c r="Z12" s="82">
        <f>'노동2603실적(사업부별)'!Y$12</f>
        <v>0</v>
      </c>
    </row>
    <row r="13" spans="1:27" s="7" customFormat="1" ht="19" customHeight="1" x14ac:dyDescent="0.45">
      <c r="A13" s="275"/>
      <c r="B13" s="15" t="s">
        <v>17</v>
      </c>
      <c r="C13" s="17">
        <f>$C$8</f>
        <v>1243891.1956520043</v>
      </c>
      <c r="D13" s="293"/>
      <c r="E13" s="49">
        <f>$E$8</f>
        <v>1161484</v>
      </c>
      <c r="F13" s="295"/>
      <c r="G13" s="17">
        <f>$G$8</f>
        <v>1156248</v>
      </c>
      <c r="H13" s="295"/>
      <c r="I13" s="91">
        <f>$I$8</f>
        <v>2948182</v>
      </c>
      <c r="J13" s="297"/>
      <c r="K13" s="284"/>
      <c r="L13" s="88"/>
      <c r="M13" s="88"/>
      <c r="O13" s="213">
        <f>O7</f>
        <v>46023</v>
      </c>
      <c r="P13" s="213">
        <f t="shared" ref="P13:Z13" si="1">P7</f>
        <v>46054</v>
      </c>
      <c r="Q13" s="213">
        <f t="shared" si="1"/>
        <v>46082</v>
      </c>
      <c r="R13" s="213">
        <f t="shared" si="1"/>
        <v>46113</v>
      </c>
      <c r="S13" s="213">
        <f t="shared" si="1"/>
        <v>46143</v>
      </c>
      <c r="T13" s="213">
        <f t="shared" si="1"/>
        <v>46174</v>
      </c>
      <c r="U13" s="213">
        <f t="shared" si="1"/>
        <v>46204</v>
      </c>
      <c r="V13" s="213">
        <f t="shared" si="1"/>
        <v>46235</v>
      </c>
      <c r="W13" s="213">
        <f t="shared" si="1"/>
        <v>46266</v>
      </c>
      <c r="X13" s="213">
        <f t="shared" si="1"/>
        <v>46296</v>
      </c>
      <c r="Y13" s="213">
        <f t="shared" si="1"/>
        <v>46327</v>
      </c>
      <c r="Z13" s="213">
        <f t="shared" si="1"/>
        <v>46357</v>
      </c>
      <c r="AA13" s="82"/>
    </row>
    <row r="14" spans="1:27" s="7" customFormat="1" ht="19" customHeight="1" x14ac:dyDescent="0.45">
      <c r="A14" s="275"/>
      <c r="B14" s="11" t="s">
        <v>18</v>
      </c>
      <c r="C14" s="98">
        <v>58835.7901103943</v>
      </c>
      <c r="D14" s="292">
        <f>C14/C15</f>
        <v>4.7299788209815757E-2</v>
      </c>
      <c r="E14" s="99">
        <v>50096</v>
      </c>
      <c r="F14" s="294">
        <f>E14/E15</f>
        <v>4.3131028925064832E-2</v>
      </c>
      <c r="G14" s="19">
        <f>'노동2603실적(사업부별)'!$G$14</f>
        <v>62018</v>
      </c>
      <c r="H14" s="294">
        <f>G14/G15</f>
        <v>5.3637281967190427E-2</v>
      </c>
      <c r="I14" s="45">
        <f>SUBTOTAL(109,$O$14:$Z$14)</f>
        <v>165585</v>
      </c>
      <c r="J14" s="296">
        <f>I14/I15</f>
        <v>5.616512142059072E-2</v>
      </c>
      <c r="K14" s="283"/>
      <c r="L14" s="88"/>
      <c r="M14" s="88"/>
      <c r="N14" s="82"/>
      <c r="O14" s="82">
        <f>'노동2603실적(사업부별)'!N$14</f>
        <v>48058</v>
      </c>
      <c r="P14" s="82">
        <f>'노동2603실적(사업부별)'!O$14</f>
        <v>55509</v>
      </c>
      <c r="Q14" s="82">
        <f>'노동2603실적(사업부별)'!P$14</f>
        <v>62018</v>
      </c>
      <c r="R14" s="82">
        <f>'노동2603실적(사업부별)'!Q$14</f>
        <v>0</v>
      </c>
      <c r="S14" s="82">
        <f>'노동2603실적(사업부별)'!R$14</f>
        <v>0</v>
      </c>
      <c r="T14" s="82">
        <f>'노동2603실적(사업부별)'!S$14</f>
        <v>0</v>
      </c>
      <c r="U14" s="82">
        <f>'노동2603실적(사업부별)'!T$14</f>
        <v>0</v>
      </c>
      <c r="V14" s="82">
        <f>'노동2603실적(사업부별)'!U$14</f>
        <v>0</v>
      </c>
      <c r="W14" s="82">
        <f>'노동2603실적(사업부별)'!V$14</f>
        <v>0</v>
      </c>
      <c r="X14" s="82">
        <f>'노동2603실적(사업부별)'!W$14</f>
        <v>0</v>
      </c>
      <c r="Y14" s="82">
        <f>'노동2603실적(사업부별)'!X$14</f>
        <v>0</v>
      </c>
      <c r="Z14" s="82">
        <f>'노동2603실적(사업부별)'!Y$14</f>
        <v>0</v>
      </c>
    </row>
    <row r="15" spans="1:27" s="7" customFormat="1" ht="19" customHeight="1" x14ac:dyDescent="0.45">
      <c r="A15" s="275"/>
      <c r="B15" s="15" t="s">
        <v>17</v>
      </c>
      <c r="C15" s="17">
        <f>$C$8</f>
        <v>1243891.1956520043</v>
      </c>
      <c r="D15" s="293"/>
      <c r="E15" s="49">
        <f>$E$8</f>
        <v>1161484</v>
      </c>
      <c r="F15" s="295"/>
      <c r="G15" s="17">
        <f>$G$8</f>
        <v>1156248</v>
      </c>
      <c r="H15" s="295"/>
      <c r="I15" s="44">
        <f>$I$8</f>
        <v>2948182</v>
      </c>
      <c r="J15" s="297"/>
      <c r="K15" s="284"/>
      <c r="L15" s="88"/>
      <c r="M15" s="88"/>
    </row>
    <row r="16" spans="1:27" s="7" customFormat="1" ht="19" customHeight="1" x14ac:dyDescent="0.45">
      <c r="A16" s="275"/>
      <c r="B16" s="21" t="s">
        <v>19</v>
      </c>
      <c r="C16" s="19">
        <f>$C$14+$C$12</f>
        <v>462293.13011039427</v>
      </c>
      <c r="D16" s="285">
        <f>C16/C17</f>
        <v>0.37165077759721288</v>
      </c>
      <c r="E16" s="48">
        <f>$E$14+$E$12</f>
        <v>443491</v>
      </c>
      <c r="F16" s="287">
        <f>E16/E17</f>
        <v>0.38183134679427355</v>
      </c>
      <c r="G16" s="19">
        <f>$G$14+$G$12</f>
        <v>422539</v>
      </c>
      <c r="H16" s="287">
        <f>G16/G17</f>
        <v>0.36543976724716498</v>
      </c>
      <c r="I16" s="45">
        <f>$I$14+$I$12</f>
        <v>1264981</v>
      </c>
      <c r="J16" s="296">
        <f>I16/I17</f>
        <v>0.42907154307298534</v>
      </c>
      <c r="K16" s="283"/>
      <c r="L16" s="88"/>
      <c r="M16" s="88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</row>
    <row r="17" spans="1:27" s="7" customFormat="1" ht="19" customHeight="1" x14ac:dyDescent="0.45">
      <c r="A17" s="291"/>
      <c r="B17" s="22" t="s">
        <v>17</v>
      </c>
      <c r="C17" s="17">
        <f>$C$8</f>
        <v>1243891.1956520043</v>
      </c>
      <c r="D17" s="286"/>
      <c r="E17" s="49">
        <f>$E$8</f>
        <v>1161484</v>
      </c>
      <c r="F17" s="288"/>
      <c r="G17" s="17">
        <f>$G$8</f>
        <v>1156248</v>
      </c>
      <c r="H17" s="288"/>
      <c r="I17" s="44">
        <f>$I$8</f>
        <v>2948182</v>
      </c>
      <c r="J17" s="297"/>
      <c r="K17" s="284"/>
      <c r="L17" s="88"/>
      <c r="M17" s="88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</row>
    <row r="18" spans="1:27" s="7" customFormat="1" ht="19" customHeight="1" x14ac:dyDescent="0.45">
      <c r="A18" s="274" t="s">
        <v>20</v>
      </c>
      <c r="B18" s="11" t="s">
        <v>21</v>
      </c>
      <c r="C18" s="19">
        <f>$C$12</f>
        <v>403457.33999999997</v>
      </c>
      <c r="D18" s="292">
        <f>C18/C19</f>
        <v>8.1011707278873385E-2</v>
      </c>
      <c r="E18" s="48">
        <f>$E$12</f>
        <v>393395</v>
      </c>
      <c r="F18" s="294">
        <f>E18/E19</f>
        <v>8.3904827596209181E-2</v>
      </c>
      <c r="G18" s="19">
        <f>$G$12</f>
        <v>360521</v>
      </c>
      <c r="H18" s="294">
        <f>G18/G19</f>
        <v>7.4362177783525649E-2</v>
      </c>
      <c r="I18" s="45">
        <f>$I$12</f>
        <v>1099396</v>
      </c>
      <c r="J18" s="296">
        <f>I18/I19</f>
        <v>8.9058996818118005E-2</v>
      </c>
      <c r="K18" s="283"/>
      <c r="L18" s="88"/>
      <c r="M18" s="88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</row>
    <row r="19" spans="1:27" s="7" customFormat="1" ht="19" customHeight="1" x14ac:dyDescent="0.45">
      <c r="A19" s="275"/>
      <c r="B19" s="15" t="s">
        <v>22</v>
      </c>
      <c r="C19" s="17">
        <f>$C$9</f>
        <v>4980235</v>
      </c>
      <c r="D19" s="293"/>
      <c r="E19" s="49">
        <f>$E$9</f>
        <v>4688586</v>
      </c>
      <c r="F19" s="295"/>
      <c r="G19" s="17">
        <f>$G$9</f>
        <v>4848177</v>
      </c>
      <c r="H19" s="295"/>
      <c r="I19" s="44">
        <f>$I$9</f>
        <v>12344581</v>
      </c>
      <c r="J19" s="297"/>
      <c r="K19" s="284"/>
      <c r="L19" s="88"/>
      <c r="M19" s="88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</row>
    <row r="20" spans="1:27" s="7" customFormat="1" ht="19" customHeight="1" x14ac:dyDescent="0.45">
      <c r="A20" s="275"/>
      <c r="B20" s="11" t="s">
        <v>18</v>
      </c>
      <c r="C20" s="19">
        <f>$C$14</f>
        <v>58835.7901103943</v>
      </c>
      <c r="D20" s="292">
        <f>C20/C21</f>
        <v>1.1813858203557523E-2</v>
      </c>
      <c r="E20" s="48">
        <f>$E$14</f>
        <v>50096</v>
      </c>
      <c r="F20" s="294">
        <f>E20/E21</f>
        <v>1.0684671242033312E-2</v>
      </c>
      <c r="G20" s="19">
        <f>$G$14</f>
        <v>62018</v>
      </c>
      <c r="H20" s="294">
        <f>G20/G21</f>
        <v>1.2792024713619161E-2</v>
      </c>
      <c r="I20" s="45">
        <f>$I$14</f>
        <v>165585</v>
      </c>
      <c r="J20" s="296">
        <f>I20/I21</f>
        <v>1.3413577990212871E-2</v>
      </c>
      <c r="K20" s="283"/>
      <c r="L20" s="88"/>
      <c r="M20" s="88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</row>
    <row r="21" spans="1:27" s="7" customFormat="1" ht="19" customHeight="1" x14ac:dyDescent="0.45">
      <c r="A21" s="275"/>
      <c r="B21" s="15" t="s">
        <v>22</v>
      </c>
      <c r="C21" s="17">
        <f>$C$9</f>
        <v>4980235</v>
      </c>
      <c r="D21" s="293"/>
      <c r="E21" s="49">
        <f>$E$9</f>
        <v>4688586</v>
      </c>
      <c r="F21" s="295"/>
      <c r="G21" s="17">
        <f>$G$9</f>
        <v>4848177</v>
      </c>
      <c r="H21" s="295"/>
      <c r="I21" s="44">
        <f>$I$9</f>
        <v>12344581</v>
      </c>
      <c r="J21" s="297"/>
      <c r="K21" s="284"/>
      <c r="L21" s="88"/>
      <c r="M21" s="88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</row>
    <row r="22" spans="1:27" s="7" customFormat="1" ht="19" customHeight="1" x14ac:dyDescent="0.45">
      <c r="A22" s="275"/>
      <c r="B22" s="21" t="s">
        <v>19</v>
      </c>
      <c r="C22" s="19">
        <f>$C$20+$C$18</f>
        <v>462293.13011039427</v>
      </c>
      <c r="D22" s="285">
        <f>C22/C23</f>
        <v>9.28255654824309E-2</v>
      </c>
      <c r="E22" s="48">
        <f>$E$20+$E$18</f>
        <v>443491</v>
      </c>
      <c r="F22" s="287">
        <f>E22/E23</f>
        <v>9.4589498838242483E-2</v>
      </c>
      <c r="G22" s="19">
        <f>$G$20+$G$18</f>
        <v>422539</v>
      </c>
      <c r="H22" s="287">
        <f>G22/G23</f>
        <v>8.7154202497144798E-2</v>
      </c>
      <c r="I22" s="45">
        <f>$I$20+$I$18</f>
        <v>1264981</v>
      </c>
      <c r="J22" s="289">
        <f>I22/I23</f>
        <v>0.10247257480833087</v>
      </c>
      <c r="K22" s="283"/>
      <c r="L22" s="88"/>
      <c r="M22" s="88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</row>
    <row r="23" spans="1:27" s="7" customFormat="1" ht="19" customHeight="1" x14ac:dyDescent="0.45">
      <c r="A23" s="291"/>
      <c r="B23" s="22" t="s">
        <v>22</v>
      </c>
      <c r="C23" s="17">
        <f>$C$9</f>
        <v>4980235</v>
      </c>
      <c r="D23" s="286"/>
      <c r="E23" s="49">
        <f>$E$9</f>
        <v>4688586</v>
      </c>
      <c r="F23" s="288"/>
      <c r="G23" s="17">
        <f>$G$9</f>
        <v>4848177</v>
      </c>
      <c r="H23" s="288"/>
      <c r="I23" s="91">
        <f>$I$9</f>
        <v>12344581</v>
      </c>
      <c r="J23" s="290"/>
      <c r="K23" s="284"/>
      <c r="L23" s="88"/>
      <c r="M23" s="88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</row>
    <row r="24" spans="1:27" s="7" customFormat="1" ht="19" customHeight="1" x14ac:dyDescent="0.45">
      <c r="A24" s="274" t="s">
        <v>23</v>
      </c>
      <c r="B24" s="11" t="s">
        <v>24</v>
      </c>
      <c r="C24" s="19">
        <f>$C$12</f>
        <v>403457.33999999997</v>
      </c>
      <c r="D24" s="269">
        <f>C24/C25</f>
        <v>3955.4641176470586</v>
      </c>
      <c r="E24" s="48">
        <f>$E$12</f>
        <v>393395</v>
      </c>
      <c r="F24" s="271">
        <f>E24/E25</f>
        <v>3856.8137254901962</v>
      </c>
      <c r="G24" s="19">
        <f>$G$12</f>
        <v>360521</v>
      </c>
      <c r="H24" s="271">
        <f>G24/G25</f>
        <v>3534.5196078431372</v>
      </c>
      <c r="I24" s="45">
        <f>$I$12</f>
        <v>1099396</v>
      </c>
      <c r="J24" s="236">
        <f>I24/I25</f>
        <v>3569.4675324675327</v>
      </c>
      <c r="K24" s="228"/>
      <c r="L24" s="89"/>
      <c r="M24" s="89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</row>
    <row r="25" spans="1:27" s="7" customFormat="1" ht="19" customHeight="1" x14ac:dyDescent="0.45">
      <c r="A25" s="275"/>
      <c r="B25" s="15" t="s">
        <v>14</v>
      </c>
      <c r="C25" s="17">
        <f>$C$11</f>
        <v>102</v>
      </c>
      <c r="D25" s="277"/>
      <c r="E25" s="49">
        <f>$E$11</f>
        <v>102</v>
      </c>
      <c r="F25" s="278"/>
      <c r="G25" s="17">
        <f>$G$11</f>
        <v>102</v>
      </c>
      <c r="H25" s="278"/>
      <c r="I25" s="44">
        <f>$I$11</f>
        <v>308</v>
      </c>
      <c r="J25" s="237"/>
      <c r="K25" s="231"/>
      <c r="L25" s="89"/>
      <c r="M25" s="89"/>
      <c r="O25" s="213">
        <f>O7</f>
        <v>46023</v>
      </c>
      <c r="P25" s="213">
        <f t="shared" ref="P25:Z25" si="2">P7</f>
        <v>46054</v>
      </c>
      <c r="Q25" s="213">
        <f t="shared" si="2"/>
        <v>46082</v>
      </c>
      <c r="R25" s="213">
        <f t="shared" si="2"/>
        <v>46113</v>
      </c>
      <c r="S25" s="213">
        <f t="shared" si="2"/>
        <v>46143</v>
      </c>
      <c r="T25" s="213">
        <f t="shared" si="2"/>
        <v>46174</v>
      </c>
      <c r="U25" s="213">
        <f t="shared" si="2"/>
        <v>46204</v>
      </c>
      <c r="V25" s="213">
        <f t="shared" si="2"/>
        <v>46235</v>
      </c>
      <c r="W25" s="213">
        <f t="shared" si="2"/>
        <v>46266</v>
      </c>
      <c r="X25" s="213">
        <f t="shared" si="2"/>
        <v>46296</v>
      </c>
      <c r="Y25" s="213">
        <f t="shared" si="2"/>
        <v>46327</v>
      </c>
      <c r="Z25" s="213">
        <f t="shared" si="2"/>
        <v>46357</v>
      </c>
      <c r="AA25" s="82"/>
    </row>
    <row r="26" spans="1:27" s="7" customFormat="1" ht="19" customHeight="1" x14ac:dyDescent="0.45">
      <c r="A26" s="275"/>
      <c r="B26" s="11" t="s">
        <v>25</v>
      </c>
      <c r="C26" s="98">
        <v>31796.587200000002</v>
      </c>
      <c r="D26" s="279">
        <f>C26/C27</f>
        <v>311.73124705882356</v>
      </c>
      <c r="E26" s="99">
        <v>31796</v>
      </c>
      <c r="F26" s="281">
        <f>E26/E27</f>
        <v>311.72549019607845</v>
      </c>
      <c r="G26" s="46">
        <f>'노동2603실적(사업부별)'!$G$26</f>
        <v>31796</v>
      </c>
      <c r="H26" s="271">
        <f>G26/G27</f>
        <v>311.72549019607845</v>
      </c>
      <c r="I26" s="45">
        <f>SUBTOTAL(109,$O$26:$Z$26)</f>
        <v>91136</v>
      </c>
      <c r="J26" s="236">
        <f>I26/I27</f>
        <v>295.89610389610391</v>
      </c>
      <c r="K26" s="228"/>
      <c r="L26" s="89"/>
      <c r="M26" s="89"/>
      <c r="N26" s="82"/>
      <c r="O26" s="82">
        <f>'노동2603실적(사업부별)'!N$26</f>
        <v>30116</v>
      </c>
      <c r="P26" s="82">
        <f>'노동2603실적(사업부별)'!O$26</f>
        <v>29224</v>
      </c>
      <c r="Q26" s="82">
        <f>'노동2603실적(사업부별)'!P$26</f>
        <v>31796</v>
      </c>
      <c r="R26" s="82">
        <f>'노동2603실적(사업부별)'!Q$26</f>
        <v>0</v>
      </c>
      <c r="S26" s="82">
        <f>'노동2603실적(사업부별)'!R$26</f>
        <v>0</v>
      </c>
      <c r="T26" s="82">
        <f>'노동2603실적(사업부별)'!S$26</f>
        <v>0</v>
      </c>
      <c r="U26" s="82">
        <f>'노동2603실적(사업부별)'!T$26</f>
        <v>0</v>
      </c>
      <c r="V26" s="82">
        <f>'노동2603실적(사업부별)'!U$26</f>
        <v>0</v>
      </c>
      <c r="W26" s="82">
        <f>'노동2603실적(사업부별)'!V$26</f>
        <v>0</v>
      </c>
      <c r="X26" s="82">
        <f>'노동2603실적(사업부별)'!W$26</f>
        <v>0</v>
      </c>
      <c r="Y26" s="82">
        <f>'노동2603실적(사업부별)'!X$26</f>
        <v>0</v>
      </c>
      <c r="Z26" s="82">
        <f>'노동2603실적(사업부별)'!Y$26</f>
        <v>0</v>
      </c>
      <c r="AA26" s="82"/>
    </row>
    <row r="27" spans="1:27" s="7" customFormat="1" ht="19" customHeight="1" x14ac:dyDescent="0.45">
      <c r="A27" s="275"/>
      <c r="B27" s="15" t="s">
        <v>26</v>
      </c>
      <c r="C27" s="56">
        <f>$C$11</f>
        <v>102</v>
      </c>
      <c r="D27" s="280"/>
      <c r="E27" s="47">
        <f>$E$11</f>
        <v>102</v>
      </c>
      <c r="F27" s="282"/>
      <c r="G27" s="56">
        <f>$G$11</f>
        <v>102</v>
      </c>
      <c r="H27" s="278"/>
      <c r="I27" s="44">
        <f>$I$11</f>
        <v>308</v>
      </c>
      <c r="J27" s="237"/>
      <c r="K27" s="231"/>
      <c r="L27" s="89"/>
      <c r="M27" s="89"/>
    </row>
    <row r="28" spans="1:27" s="7" customFormat="1" ht="19" customHeight="1" x14ac:dyDescent="0.45">
      <c r="A28" s="275"/>
      <c r="B28" s="11" t="s">
        <v>27</v>
      </c>
      <c r="C28" s="19">
        <f>$C$26+$C$24</f>
        <v>435253.92719999998</v>
      </c>
      <c r="D28" s="269">
        <f>C28/C29</f>
        <v>4267.1953647058817</v>
      </c>
      <c r="E28" s="48">
        <f>$E$26+$E$24</f>
        <v>425191</v>
      </c>
      <c r="F28" s="271">
        <f>E28/E29</f>
        <v>4168.5392156862745</v>
      </c>
      <c r="G28" s="19">
        <f>$G$26+$G$24</f>
        <v>392317</v>
      </c>
      <c r="H28" s="271">
        <f>G28/G29</f>
        <v>3846.2450980392155</v>
      </c>
      <c r="I28" s="45">
        <f>$I$26+$I$24</f>
        <v>1190532</v>
      </c>
      <c r="J28" s="246">
        <f>I28/I29</f>
        <v>3865.3636363636365</v>
      </c>
      <c r="K28" s="228"/>
      <c r="L28" s="89"/>
      <c r="M28" s="89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</row>
    <row r="29" spans="1:27" s="7" customFormat="1" ht="19" customHeight="1" thickBot="1" x14ac:dyDescent="0.5">
      <c r="A29" s="276"/>
      <c r="B29" s="23" t="s">
        <v>28</v>
      </c>
      <c r="C29" s="25">
        <f>$C$11</f>
        <v>102</v>
      </c>
      <c r="D29" s="270"/>
      <c r="E29" s="50">
        <f>$E$11</f>
        <v>102</v>
      </c>
      <c r="F29" s="272"/>
      <c r="G29" s="25">
        <f>$G$11</f>
        <v>102</v>
      </c>
      <c r="H29" s="272"/>
      <c r="I29" s="92">
        <f>$I$11</f>
        <v>308</v>
      </c>
      <c r="J29" s="273"/>
      <c r="K29" s="229"/>
      <c r="L29" s="89"/>
      <c r="M29" s="89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</row>
    <row r="30" spans="1:27" ht="12" customHeight="1" thickBot="1" x14ac:dyDescent="0.5">
      <c r="C30" s="27"/>
      <c r="D30" s="28"/>
      <c r="E30" s="27"/>
      <c r="F30" s="28"/>
      <c r="O30" s="82"/>
    </row>
    <row r="31" spans="1:27" ht="18.75" customHeight="1" thickBot="1" x14ac:dyDescent="0.5">
      <c r="A31" s="64" t="s">
        <v>2</v>
      </c>
      <c r="B31" s="30" t="s">
        <v>3</v>
      </c>
      <c r="C31" s="258" t="str">
        <f>'노동2603실적(사업부별)'!$C$31</f>
        <v>2025年 實積</v>
      </c>
      <c r="D31" s="259"/>
      <c r="E31" s="260" t="str">
        <f>'노동2603실적(사업부별)'!$E$31</f>
        <v>2026年 計劃</v>
      </c>
      <c r="F31" s="261"/>
      <c r="G31" s="262">
        <f>'노동2603실적(사업부별)'!$G$31</f>
        <v>3</v>
      </c>
      <c r="H31" s="263"/>
      <c r="I31" s="264" t="s">
        <v>29</v>
      </c>
      <c r="J31" s="265"/>
      <c r="K31" s="30" t="s">
        <v>6</v>
      </c>
      <c r="L31" s="90"/>
      <c r="M31" s="90"/>
      <c r="O31" s="213">
        <f>O$25</f>
        <v>46023</v>
      </c>
      <c r="P31" s="213">
        <f>'노동2603실적(사업부별)'!O$31</f>
        <v>46054</v>
      </c>
      <c r="Q31" s="213">
        <f>'노동2603실적(사업부별)'!P$31</f>
        <v>46082</v>
      </c>
      <c r="R31" s="213">
        <f>'노동2603실적(사업부별)'!Q$31</f>
        <v>45748</v>
      </c>
      <c r="S31" s="213">
        <f>'노동2603실적(사업부별)'!R$31</f>
        <v>45778</v>
      </c>
      <c r="T31" s="213">
        <f>'노동2603실적(사업부별)'!S$31</f>
        <v>45809</v>
      </c>
      <c r="U31" s="213">
        <f>'노동2603실적(사업부별)'!T$31</f>
        <v>45839</v>
      </c>
      <c r="V31" s="213">
        <f>'노동2603실적(사업부별)'!U$31</f>
        <v>45870</v>
      </c>
      <c r="W31" s="213">
        <f>'노동2603실적(사업부별)'!V$31</f>
        <v>45901</v>
      </c>
      <c r="X31" s="213">
        <f>'노동2603실적(사업부별)'!W$31</f>
        <v>45931</v>
      </c>
      <c r="Y31" s="213">
        <f>'노동2603실적(사업부별)'!X$31</f>
        <v>45962</v>
      </c>
      <c r="Z31" s="213">
        <f>'노동2603실적(사업부별)'!Y$31</f>
        <v>45992</v>
      </c>
    </row>
    <row r="32" spans="1:27" ht="18.75" customHeight="1" x14ac:dyDescent="0.45">
      <c r="A32" s="74" t="s">
        <v>47</v>
      </c>
      <c r="B32" s="75" t="s">
        <v>12</v>
      </c>
      <c r="C32" s="158">
        <f>'노동2603실적(사업부별)'!C32</f>
        <v>22879144.300000004</v>
      </c>
      <c r="D32" s="266">
        <f>C32/C33</f>
        <v>215840.9839622642</v>
      </c>
      <c r="E32" s="12">
        <f>'노동2603실적(사업부별)'!$E$32</f>
        <v>12645787</v>
      </c>
      <c r="F32" s="248">
        <f>E32/E33</f>
        <v>129038.64285714286</v>
      </c>
      <c r="G32" s="31">
        <f>$I$8</f>
        <v>2948182</v>
      </c>
      <c r="H32" s="248">
        <f>G32/G33</f>
        <v>28716.058441558442</v>
      </c>
      <c r="I32" s="31">
        <f>SUBTOTAL(109,$O$32:$Z$32)</f>
        <v>10512849</v>
      </c>
      <c r="J32" s="248">
        <f>I32/I33</f>
        <v>100441.23248407643</v>
      </c>
      <c r="K32" s="248"/>
      <c r="L32" s="87"/>
      <c r="M32" s="87"/>
      <c r="N32" s="82"/>
      <c r="O32" s="82">
        <f>'노동2603실적(사업부별)'!N$32</f>
        <v>923950</v>
      </c>
      <c r="P32" s="82">
        <f>'노동2603실적(사업부별)'!O$32</f>
        <v>867984</v>
      </c>
      <c r="Q32" s="82">
        <f>'노동2603실적(사업부별)'!P$32</f>
        <v>1156248</v>
      </c>
      <c r="R32" s="82">
        <f>'노동2603실적(사업부별)'!Q$32</f>
        <v>1173741</v>
      </c>
      <c r="S32" s="82">
        <f>'노동2603실적(사업부별)'!R$32</f>
        <v>956633</v>
      </c>
      <c r="T32" s="145">
        <f>'노동2603실적(사업부별)'!S$32</f>
        <v>733807</v>
      </c>
      <c r="U32" s="145">
        <f>'노동2603실적(사업부별)'!T$32</f>
        <v>1026435</v>
      </c>
      <c r="V32" s="145">
        <f>'노동2603실적(사업부별)'!U$32</f>
        <v>927514</v>
      </c>
      <c r="W32" s="145">
        <f>'노동2603실적(사업부별)'!V$32</f>
        <v>799312</v>
      </c>
      <c r="X32" s="145">
        <f>'노동2603실적(사업부별)'!W$32</f>
        <v>632571</v>
      </c>
      <c r="Y32" s="145">
        <f>'노동2603실적(사업부별)'!X$32</f>
        <v>836863</v>
      </c>
      <c r="Z32" s="82">
        <f>'노동2603실적(사업부별)'!Y$32</f>
        <v>477791</v>
      </c>
      <c r="AA32" s="26"/>
    </row>
    <row r="33" spans="1:27" ht="18.75" customHeight="1" thickBot="1" x14ac:dyDescent="0.5">
      <c r="A33" s="68" t="s">
        <v>12</v>
      </c>
      <c r="B33" s="69" t="s">
        <v>30</v>
      </c>
      <c r="C33" s="159">
        <f>'노동2603실적(사업부별)'!C33</f>
        <v>106</v>
      </c>
      <c r="D33" s="267"/>
      <c r="E33" s="161">
        <f>'노동2603실적(사업부별)'!$E$33</f>
        <v>98</v>
      </c>
      <c r="F33" s="249"/>
      <c r="G33" s="70">
        <f>I11/G31</f>
        <v>102.66666666666667</v>
      </c>
      <c r="H33" s="249"/>
      <c r="I33" s="79">
        <f>SUBTOTAL(101,$O$33:$Z$33)</f>
        <v>104.66666666666667</v>
      </c>
      <c r="J33" s="249"/>
      <c r="K33" s="249"/>
      <c r="L33" s="87"/>
      <c r="M33" s="87"/>
      <c r="N33" s="82"/>
      <c r="O33" s="82">
        <f>'노동2603실적(사업부별)'!N$33</f>
        <v>103</v>
      </c>
      <c r="P33" s="82">
        <f>'노동2603실적(사업부별)'!O$33</f>
        <v>103</v>
      </c>
      <c r="Q33" s="82">
        <f>'노동2603실적(사업부별)'!P$33</f>
        <v>102</v>
      </c>
      <c r="R33" s="82">
        <f>'노동2603실적(사업부별)'!Q$33</f>
        <v>107</v>
      </c>
      <c r="S33" s="82">
        <f>'노동2603실적(사업부별)'!R$33</f>
        <v>105</v>
      </c>
      <c r="T33" s="145">
        <f>'노동2603실적(사업부별)'!S$33</f>
        <v>106</v>
      </c>
      <c r="U33" s="145">
        <f>'노동2603실적(사업부별)'!T$33</f>
        <v>106</v>
      </c>
      <c r="V33" s="145">
        <f>'노동2603실적(사업부별)'!U$33</f>
        <v>105</v>
      </c>
      <c r="W33" s="145">
        <f>'노동2603실적(사업부별)'!V$33</f>
        <v>106</v>
      </c>
      <c r="X33" s="145">
        <f>'노동2603실적(사업부별)'!W$33</f>
        <v>105</v>
      </c>
      <c r="Y33" s="145">
        <f>'노동2603실적(사업부별)'!X$33</f>
        <v>104</v>
      </c>
      <c r="Z33" s="82">
        <f>'노동2603실적(사업부별)'!Y$33</f>
        <v>104</v>
      </c>
      <c r="AA33" s="26"/>
    </row>
    <row r="34" spans="1:27" ht="12" customHeight="1" x14ac:dyDescent="0.45">
      <c r="C34" s="268"/>
      <c r="D34" s="268"/>
      <c r="E34" s="268"/>
      <c r="F34" s="268"/>
      <c r="O34" s="82"/>
      <c r="U34" s="85"/>
      <c r="AA34" s="85"/>
    </row>
    <row r="35" spans="1:27" ht="18" customHeight="1" x14ac:dyDescent="0.45">
      <c r="A35" s="34" t="s">
        <v>31</v>
      </c>
      <c r="C35" s="33"/>
      <c r="D35" s="29"/>
      <c r="E35" s="33"/>
      <c r="F35" s="29"/>
      <c r="H35" s="7"/>
      <c r="I35" s="7"/>
      <c r="O35" s="82"/>
    </row>
    <row r="36" spans="1:27" ht="12" customHeight="1" thickBot="1" x14ac:dyDescent="0.5">
      <c r="A36" s="34"/>
      <c r="C36" s="26"/>
      <c r="D36" s="29"/>
      <c r="E36" s="26"/>
      <c r="F36" s="29"/>
      <c r="K36" s="62" t="s">
        <v>1</v>
      </c>
      <c r="L36" s="62"/>
      <c r="M36" s="62"/>
      <c r="O36" s="82"/>
    </row>
    <row r="37" spans="1:27" ht="19" customHeight="1" x14ac:dyDescent="0.45">
      <c r="A37" s="250" t="s">
        <v>2</v>
      </c>
      <c r="B37" s="248" t="s">
        <v>3</v>
      </c>
      <c r="C37" s="252">
        <f>$C$6</f>
        <v>46082</v>
      </c>
      <c r="D37" s="253"/>
      <c r="E37" s="254">
        <f>$E$6</f>
        <v>46082</v>
      </c>
      <c r="F37" s="255"/>
      <c r="G37" s="256">
        <f>$G$6</f>
        <v>46082</v>
      </c>
      <c r="H37" s="257"/>
      <c r="I37" s="255" t="s">
        <v>5</v>
      </c>
      <c r="J37" s="253"/>
      <c r="K37" s="248" t="s">
        <v>6</v>
      </c>
      <c r="L37" s="87"/>
      <c r="M37" s="87"/>
      <c r="O37" s="82"/>
    </row>
    <row r="38" spans="1:27" ht="19" customHeight="1" thickBot="1" x14ac:dyDescent="0.5">
      <c r="A38" s="251"/>
      <c r="B38" s="249"/>
      <c r="C38" s="35" t="s">
        <v>7</v>
      </c>
      <c r="D38" s="10" t="s">
        <v>8</v>
      </c>
      <c r="E38" s="37" t="s">
        <v>9</v>
      </c>
      <c r="F38" s="36" t="s">
        <v>10</v>
      </c>
      <c r="G38" s="35" t="s">
        <v>9</v>
      </c>
      <c r="H38" s="9" t="s">
        <v>10</v>
      </c>
      <c r="I38" s="8" t="s">
        <v>9</v>
      </c>
      <c r="J38" s="10" t="s">
        <v>10</v>
      </c>
      <c r="K38" s="249"/>
      <c r="L38" s="87"/>
      <c r="M38" s="87"/>
      <c r="O38" s="213">
        <f>O$7</f>
        <v>46023</v>
      </c>
      <c r="P38" s="213">
        <f t="shared" ref="P38:Z38" si="3">P$7</f>
        <v>46054</v>
      </c>
      <c r="Q38" s="213">
        <f t="shared" si="3"/>
        <v>46082</v>
      </c>
      <c r="R38" s="213">
        <f t="shared" si="3"/>
        <v>46113</v>
      </c>
      <c r="S38" s="213">
        <f t="shared" si="3"/>
        <v>46143</v>
      </c>
      <c r="T38" s="213">
        <f t="shared" si="3"/>
        <v>46174</v>
      </c>
      <c r="U38" s="213">
        <f t="shared" si="3"/>
        <v>46204</v>
      </c>
      <c r="V38" s="213">
        <f t="shared" si="3"/>
        <v>46235</v>
      </c>
      <c r="W38" s="213">
        <f t="shared" si="3"/>
        <v>46266</v>
      </c>
      <c r="X38" s="213">
        <f t="shared" si="3"/>
        <v>46296</v>
      </c>
      <c r="Y38" s="213">
        <f t="shared" si="3"/>
        <v>46327</v>
      </c>
      <c r="Z38" s="213">
        <f t="shared" si="3"/>
        <v>46357</v>
      </c>
    </row>
    <row r="39" spans="1:27" ht="19" customHeight="1" x14ac:dyDescent="0.45">
      <c r="A39" s="38" t="s">
        <v>32</v>
      </c>
      <c r="B39" s="39" t="s">
        <v>33</v>
      </c>
      <c r="C39" s="154">
        <v>57</v>
      </c>
      <c r="D39" s="238"/>
      <c r="E39" s="40">
        <f>G39</f>
        <v>58</v>
      </c>
      <c r="F39" s="240"/>
      <c r="G39" s="153">
        <f>'노동2603실적(사업부별)'!$G$39</f>
        <v>58</v>
      </c>
      <c r="H39" s="242"/>
      <c r="I39" s="13">
        <f>SUBTOTAL(109,$O$39:$Z$39)</f>
        <v>178</v>
      </c>
      <c r="J39" s="244"/>
      <c r="K39" s="80"/>
      <c r="L39" s="89"/>
      <c r="M39" s="191" t="s">
        <v>100</v>
      </c>
      <c r="N39" s="82"/>
      <c r="O39" s="82">
        <f>'노동2603실적(사업부별)'!N$39</f>
        <v>62</v>
      </c>
      <c r="P39" s="82">
        <f>'노동2603실적(사업부별)'!O$39</f>
        <v>58</v>
      </c>
      <c r="Q39" s="82">
        <f>'노동2603실적(사업부별)'!P$39</f>
        <v>58</v>
      </c>
      <c r="R39" s="82">
        <f>'노동2603실적(사업부별)'!Q$39</f>
        <v>0</v>
      </c>
      <c r="S39" s="82">
        <f>'노동2603실적(사업부별)'!R$39</f>
        <v>0</v>
      </c>
      <c r="T39" s="82">
        <f>'노동2603실적(사업부별)'!S$39</f>
        <v>0</v>
      </c>
      <c r="U39" s="82">
        <f>'노동2603실적(사업부별)'!T$39</f>
        <v>0</v>
      </c>
      <c r="V39" s="82">
        <f>'노동2603실적(사업부별)'!U$39</f>
        <v>0</v>
      </c>
      <c r="W39" s="82">
        <f>'노동2603실적(사업부별)'!V$39</f>
        <v>0</v>
      </c>
      <c r="X39" s="82">
        <f>'노동2603실적(사업부별)'!W$39</f>
        <v>0</v>
      </c>
      <c r="Y39" s="82">
        <f>'노동2603실적(사업부별)'!X$39</f>
        <v>0</v>
      </c>
      <c r="Z39" s="82">
        <f>'노동2603실적(사업부별)'!Y$39</f>
        <v>0</v>
      </c>
    </row>
    <row r="40" spans="1:27" ht="19" customHeight="1" x14ac:dyDescent="0.45">
      <c r="A40" s="42" t="s">
        <v>34</v>
      </c>
      <c r="B40" s="43"/>
      <c r="C40" s="155">
        <f>197413/12</f>
        <v>16451.083333333332</v>
      </c>
      <c r="D40" s="239"/>
      <c r="E40" s="44">
        <f>'노무비(인원,근무시간 등(25_01)'!$I$20</f>
        <v>16157.900000000001</v>
      </c>
      <c r="F40" s="241"/>
      <c r="G40" s="56">
        <f>'노동2603실적(사업부별)'!$G$40</f>
        <v>15415.5</v>
      </c>
      <c r="H40" s="243"/>
      <c r="I40" s="71">
        <f>SUBTOTAL(109,$O$40:$Z$40)</f>
        <v>41888.5</v>
      </c>
      <c r="J40" s="245"/>
      <c r="K40" s="147"/>
      <c r="L40" s="89"/>
      <c r="M40" s="206">
        <v>170105</v>
      </c>
      <c r="N40" s="82"/>
      <c r="O40" s="82">
        <f>'노동2603실적(사업부별)'!N$40</f>
        <v>13731</v>
      </c>
      <c r="P40" s="82">
        <f>'노동2603실적(사업부별)'!O$40</f>
        <v>12742</v>
      </c>
      <c r="Q40" s="82">
        <f>'노동2603실적(사업부별)'!P$40</f>
        <v>15415.5</v>
      </c>
      <c r="R40" s="82">
        <f>'노동2603실적(사업부별)'!Q$40</f>
        <v>0</v>
      </c>
      <c r="S40" s="82">
        <f>'노동2603실적(사업부별)'!R$40</f>
        <v>0</v>
      </c>
      <c r="T40" s="82">
        <f>'노동2603실적(사업부별)'!S$40</f>
        <v>0</v>
      </c>
      <c r="U40" s="82">
        <f>'노동2603실적(사업부별)'!T$40</f>
        <v>0</v>
      </c>
      <c r="V40" s="82">
        <f>'노동2603실적(사업부별)'!U$40</f>
        <v>0</v>
      </c>
      <c r="W40" s="82">
        <f>'노동2603실적(사업부별)'!V$40</f>
        <v>0</v>
      </c>
      <c r="X40" s="82">
        <f>'노동2603실적(사업부별)'!W$40</f>
        <v>0</v>
      </c>
      <c r="Y40" s="82">
        <f>'노동2603실적(사업부별)'!X$40</f>
        <v>0</v>
      </c>
      <c r="Z40" s="82">
        <f>'노동2603실적(사업부별)'!Y$40</f>
        <v>0</v>
      </c>
      <c r="AA40" s="82"/>
    </row>
    <row r="41" spans="1:27" ht="19" customHeight="1" x14ac:dyDescent="0.45">
      <c r="A41" s="220" t="s">
        <v>35</v>
      </c>
      <c r="B41" s="11" t="s">
        <v>16</v>
      </c>
      <c r="C41" s="45">
        <f>$M$40+'노무비(인원,근무시간 등(25_01)'!$C$24</f>
        <v>237222.34</v>
      </c>
      <c r="D41" s="236">
        <f>C41/C42</f>
        <v>14.41986130599302</v>
      </c>
      <c r="E41" s="45">
        <f>$M$42+'노무비(25-05)'!$K$23</f>
        <v>218364</v>
      </c>
      <c r="F41" s="246">
        <f>E41/E42</f>
        <v>13.514379962742682</v>
      </c>
      <c r="G41" s="55">
        <f>'노동2603실적(사업부별)'!$G$41</f>
        <v>191405</v>
      </c>
      <c r="H41" s="226">
        <f>G41/G42</f>
        <v>12.41639907884921</v>
      </c>
      <c r="I41" s="18">
        <f>SUBTOTAL(109,$O$41:$Z$41)</f>
        <v>503535</v>
      </c>
      <c r="J41" s="224">
        <f>I41/I42</f>
        <v>12.020841042290844</v>
      </c>
      <c r="K41" s="228"/>
      <c r="L41" s="89"/>
      <c r="M41" s="191" t="s">
        <v>99</v>
      </c>
      <c r="N41" s="82"/>
      <c r="O41" s="82">
        <f>'노동2603실적(사업부별)'!N$41</f>
        <v>117127</v>
      </c>
      <c r="P41" s="82">
        <f>'노동2603실적(사업부별)'!O$41</f>
        <v>195003</v>
      </c>
      <c r="Q41" s="82">
        <f>'노동2603실적(사업부별)'!P$41</f>
        <v>191405</v>
      </c>
      <c r="R41" s="82">
        <f>'노동2603실적(사업부별)'!Q$41</f>
        <v>0</v>
      </c>
      <c r="S41" s="82">
        <f>'노동2603실적(사업부별)'!R$41</f>
        <v>0</v>
      </c>
      <c r="T41" s="82">
        <f>'노동2603실적(사업부별)'!S$41</f>
        <v>0</v>
      </c>
      <c r="U41" s="82">
        <f>'노동2603실적(사업부별)'!T$41</f>
        <v>0</v>
      </c>
      <c r="V41" s="82">
        <f>'노동2603실적(사업부별)'!U$41</f>
        <v>0</v>
      </c>
      <c r="W41" s="82">
        <f>'노동2603실적(사업부별)'!V$41</f>
        <v>0</v>
      </c>
      <c r="X41" s="82">
        <f>'노동2603실적(사업부별)'!W$41</f>
        <v>0</v>
      </c>
      <c r="Y41" s="82">
        <f>'노동2603실적(사업부별)'!X$41</f>
        <v>0</v>
      </c>
      <c r="Z41" s="82">
        <f>'노동2603실적(사업부별)'!Y$41</f>
        <v>0</v>
      </c>
    </row>
    <row r="42" spans="1:27" ht="19" customHeight="1" x14ac:dyDescent="0.45">
      <c r="A42" s="235"/>
      <c r="B42" s="15" t="s">
        <v>36</v>
      </c>
      <c r="C42" s="44">
        <f>$C$40</f>
        <v>16451.083333333332</v>
      </c>
      <c r="D42" s="237"/>
      <c r="E42" s="44">
        <f>E40</f>
        <v>16157.900000000001</v>
      </c>
      <c r="F42" s="247"/>
      <c r="G42" s="17">
        <f>$G$40</f>
        <v>15415.5</v>
      </c>
      <c r="H42" s="233"/>
      <c r="I42" s="16">
        <f>$I$40</f>
        <v>41888.5</v>
      </c>
      <c r="J42" s="230"/>
      <c r="K42" s="231"/>
      <c r="L42" s="89"/>
      <c r="M42" s="206">
        <v>189898</v>
      </c>
      <c r="O42" s="82"/>
    </row>
    <row r="43" spans="1:27" ht="19" customHeight="1" x14ac:dyDescent="0.45">
      <c r="A43" s="220" t="s">
        <v>37</v>
      </c>
      <c r="B43" s="11" t="s">
        <v>38</v>
      </c>
      <c r="C43" s="144">
        <v>2895255</v>
      </c>
      <c r="D43" s="236">
        <f>C43/C44</f>
        <v>50793.947368421053</v>
      </c>
      <c r="E43" s="144">
        <v>2773544</v>
      </c>
      <c r="F43" s="224">
        <f>E43/E44</f>
        <v>47819.724137931036</v>
      </c>
      <c r="G43" s="55">
        <f>'노동2603실적(사업부별)'!$G$43</f>
        <v>2698088</v>
      </c>
      <c r="H43" s="226">
        <f>G43/G44</f>
        <v>46518.758620689652</v>
      </c>
      <c r="I43" s="45">
        <f>'노동2603실적(사업부별)'!$I$43</f>
        <v>6935679</v>
      </c>
      <c r="J43" s="224">
        <f>I43/I44</f>
        <v>38964.488764044945</v>
      </c>
      <c r="K43" s="228"/>
      <c r="L43" s="89"/>
      <c r="M43" s="82"/>
      <c r="N43" s="82"/>
      <c r="O43" s="82">
        <f>'노동2603실적(사업부별)'!N$43</f>
        <v>2211637</v>
      </c>
      <c r="P43" s="82">
        <f>'노동2603실적(사업부별)'!O$43</f>
        <v>2025954</v>
      </c>
      <c r="Q43" s="82">
        <f>'노동2603실적(사업부별)'!P$43</f>
        <v>2698088</v>
      </c>
      <c r="R43" s="82">
        <f>'노동2603실적(사업부별)'!Q$43</f>
        <v>0</v>
      </c>
      <c r="S43" s="82">
        <f>'노동2603실적(사업부별)'!R$43</f>
        <v>0</v>
      </c>
      <c r="T43" s="82">
        <f>'노동2603실적(사업부별)'!S$43</f>
        <v>0</v>
      </c>
      <c r="U43" s="82">
        <f>'노동2603실적(사업부별)'!T$43</f>
        <v>0</v>
      </c>
      <c r="V43" s="82">
        <f>'노동2603실적(사업부별)'!U$43</f>
        <v>0</v>
      </c>
      <c r="W43" s="82">
        <f>'노동2603실적(사업부별)'!V$43</f>
        <v>0</v>
      </c>
      <c r="X43" s="82">
        <f>'노동2603실적(사업부별)'!W$43</f>
        <v>0</v>
      </c>
      <c r="Y43" s="82">
        <f>'노동2603실적(사업부별)'!X$43</f>
        <v>0</v>
      </c>
      <c r="Z43" s="82">
        <f>'노동2603실적(사업부별)'!Y$43</f>
        <v>0</v>
      </c>
    </row>
    <row r="44" spans="1:27" ht="19" customHeight="1" x14ac:dyDescent="0.45">
      <c r="A44" s="235"/>
      <c r="B44" s="15" t="s">
        <v>26</v>
      </c>
      <c r="C44" s="44">
        <f>$C$39</f>
        <v>57</v>
      </c>
      <c r="D44" s="237"/>
      <c r="E44" s="44">
        <f>$E$39</f>
        <v>58</v>
      </c>
      <c r="F44" s="230"/>
      <c r="G44" s="17">
        <f>G39</f>
        <v>58</v>
      </c>
      <c r="H44" s="233"/>
      <c r="I44" s="16">
        <f>$I$39</f>
        <v>178</v>
      </c>
      <c r="J44" s="230"/>
      <c r="K44" s="231"/>
      <c r="L44" s="89"/>
      <c r="M44" s="89"/>
      <c r="O44" s="82"/>
      <c r="Q44" s="86"/>
      <c r="T44" s="157"/>
      <c r="U44" s="157"/>
    </row>
    <row r="45" spans="1:27" ht="19" customHeight="1" x14ac:dyDescent="0.45">
      <c r="A45" s="220" t="s">
        <v>39</v>
      </c>
      <c r="B45" s="11" t="s">
        <v>40</v>
      </c>
      <c r="C45" s="45">
        <f>$C$41</f>
        <v>237222.34</v>
      </c>
      <c r="D45" s="236">
        <f>C45/C46</f>
        <v>4161.7954385964913</v>
      </c>
      <c r="E45" s="45">
        <f>$E$41</f>
        <v>218364</v>
      </c>
      <c r="F45" s="224">
        <f>E45/E46</f>
        <v>3764.8965517241381</v>
      </c>
      <c r="G45" s="19">
        <f>$G$41</f>
        <v>191405</v>
      </c>
      <c r="H45" s="226">
        <f>G45/G46</f>
        <v>3300.0862068965516</v>
      </c>
      <c r="I45" s="18">
        <f>$I$41</f>
        <v>503535</v>
      </c>
      <c r="J45" s="224">
        <f>I45/I46</f>
        <v>2828.8483146067415</v>
      </c>
      <c r="K45" s="228"/>
      <c r="L45" s="89"/>
      <c r="M45" s="89"/>
      <c r="O45" s="82"/>
    </row>
    <row r="46" spans="1:27" ht="19" customHeight="1" x14ac:dyDescent="0.45">
      <c r="A46" s="234"/>
      <c r="B46" s="15" t="s">
        <v>26</v>
      </c>
      <c r="C46" s="44">
        <f>$C$39</f>
        <v>57</v>
      </c>
      <c r="D46" s="237"/>
      <c r="E46" s="44">
        <f>$E$39</f>
        <v>58</v>
      </c>
      <c r="F46" s="230"/>
      <c r="G46" s="17">
        <f>$G$39</f>
        <v>58</v>
      </c>
      <c r="H46" s="233"/>
      <c r="I46" s="16">
        <f>$I$39</f>
        <v>178</v>
      </c>
      <c r="J46" s="230"/>
      <c r="K46" s="231"/>
      <c r="L46" s="89"/>
      <c r="M46" s="89"/>
      <c r="O46" s="82"/>
    </row>
    <row r="47" spans="1:27" ht="19" customHeight="1" x14ac:dyDescent="0.45">
      <c r="A47" s="234"/>
      <c r="B47" s="11" t="s">
        <v>41</v>
      </c>
      <c r="C47" s="45">
        <f>'노무비(25-05)'!$K$14</f>
        <v>18557.372500000001</v>
      </c>
      <c r="D47" s="222">
        <f>C47/C48</f>
        <v>325.56793859649127</v>
      </c>
      <c r="E47" s="45">
        <f>$C$47</f>
        <v>18557.372500000001</v>
      </c>
      <c r="F47" s="224">
        <f>E47/E48</f>
        <v>319.95469827586209</v>
      </c>
      <c r="G47" s="55">
        <f>'노동2603실적(사업부별)'!$G$47</f>
        <v>18557.372500000001</v>
      </c>
      <c r="H47" s="226">
        <f>G47/G48</f>
        <v>319.95469827586209</v>
      </c>
      <c r="I47" s="18">
        <f>SUBTOTAL(109,$O$47:$Z$47)</f>
        <v>59030.77529904306</v>
      </c>
      <c r="J47" s="224">
        <f>I47/I48</f>
        <v>331.63356909574753</v>
      </c>
      <c r="K47" s="228"/>
      <c r="L47" s="89"/>
      <c r="M47" s="89"/>
      <c r="N47" s="82"/>
      <c r="O47" s="82">
        <f>'노동2603실적(사업부별)'!N$47</f>
        <v>19863.402799043062</v>
      </c>
      <c r="P47" s="82">
        <f>'노동2603실적(사업부별)'!O$47</f>
        <v>20610</v>
      </c>
      <c r="Q47" s="82">
        <f>'노동2603실적(사업부별)'!P$47</f>
        <v>18557.372500000001</v>
      </c>
      <c r="R47" s="82">
        <f>'노동2603실적(사업부별)'!Q$47</f>
        <v>0</v>
      </c>
      <c r="S47" s="82">
        <f>'노동2603실적(사업부별)'!R$47</f>
        <v>0</v>
      </c>
      <c r="T47" s="82">
        <f>'노동2603실적(사업부별)'!S$47</f>
        <v>0</v>
      </c>
      <c r="U47" s="82">
        <f>'노동2603실적(사업부별)'!T$47</f>
        <v>0</v>
      </c>
      <c r="V47" s="82">
        <f>'노동2603실적(사업부별)'!U$47</f>
        <v>0</v>
      </c>
      <c r="W47" s="82">
        <f>'노동2603실적(사업부별)'!V$47</f>
        <v>0</v>
      </c>
      <c r="X47" s="82">
        <f>'노동2603실적(사업부별)'!W$47</f>
        <v>0</v>
      </c>
      <c r="Y47" s="82">
        <f>'노동2603실적(사업부별)'!X$47</f>
        <v>0</v>
      </c>
      <c r="Z47" s="82">
        <f>'노동2603실적(사업부별)'!Y$47</f>
        <v>0</v>
      </c>
    </row>
    <row r="48" spans="1:27" ht="19" customHeight="1" x14ac:dyDescent="0.45">
      <c r="A48" s="234"/>
      <c r="B48" s="15" t="s">
        <v>26</v>
      </c>
      <c r="C48" s="16">
        <f>$C$39</f>
        <v>57</v>
      </c>
      <c r="D48" s="232"/>
      <c r="E48" s="16">
        <f>$E$39</f>
        <v>58</v>
      </c>
      <c r="F48" s="230"/>
      <c r="G48" s="17">
        <f>$G$39</f>
        <v>58</v>
      </c>
      <c r="H48" s="233"/>
      <c r="I48" s="16">
        <f>$I$39</f>
        <v>178</v>
      </c>
      <c r="J48" s="230"/>
      <c r="K48" s="231"/>
      <c r="L48" s="89"/>
      <c r="M48" s="89"/>
      <c r="O48" s="82"/>
    </row>
    <row r="49" spans="1:15" ht="19" customHeight="1" x14ac:dyDescent="0.45">
      <c r="A49" s="234"/>
      <c r="B49" s="11" t="s">
        <v>42</v>
      </c>
      <c r="C49" s="18">
        <f>$C$47+$C$45</f>
        <v>255779.71249999999</v>
      </c>
      <c r="D49" s="222">
        <f>C49/C50</f>
        <v>4487.3633771929826</v>
      </c>
      <c r="E49" s="18">
        <f>$E$47+$E$45</f>
        <v>236921.3725</v>
      </c>
      <c r="F49" s="224">
        <f>E49/E50</f>
        <v>4084.8512500000002</v>
      </c>
      <c r="G49" s="19">
        <f>$G$47+$G$45</f>
        <v>209962.3725</v>
      </c>
      <c r="H49" s="226">
        <f>G49/G50</f>
        <v>3620.0409051724137</v>
      </c>
      <c r="I49" s="18">
        <f>$I$47+$I$45</f>
        <v>562565.77529904305</v>
      </c>
      <c r="J49" s="224">
        <f>I49/I50</f>
        <v>3160.4818837024891</v>
      </c>
      <c r="K49" s="228"/>
      <c r="L49" s="89"/>
      <c r="M49" s="89"/>
      <c r="N49" s="26"/>
      <c r="O49" s="82"/>
    </row>
    <row r="50" spans="1:15" ht="19" customHeight="1" x14ac:dyDescent="0.45">
      <c r="A50" s="235"/>
      <c r="B50" s="15" t="s">
        <v>26</v>
      </c>
      <c r="C50" s="16">
        <f>$C$39</f>
        <v>57</v>
      </c>
      <c r="D50" s="232"/>
      <c r="E50" s="16">
        <f>$E$39</f>
        <v>58</v>
      </c>
      <c r="F50" s="230"/>
      <c r="G50" s="17">
        <f>$G$39</f>
        <v>58</v>
      </c>
      <c r="H50" s="233"/>
      <c r="I50" s="16">
        <f>$I$39</f>
        <v>178</v>
      </c>
      <c r="J50" s="230"/>
      <c r="K50" s="231"/>
      <c r="L50" s="89"/>
      <c r="M50" s="89"/>
      <c r="N50" s="26"/>
      <c r="O50" s="82"/>
    </row>
    <row r="51" spans="1:15" ht="19" customHeight="1" x14ac:dyDescent="0.45">
      <c r="A51" s="220" t="s">
        <v>43</v>
      </c>
      <c r="B51" s="11" t="s">
        <v>38</v>
      </c>
      <c r="C51" s="18">
        <f>$C$43</f>
        <v>2895255</v>
      </c>
      <c r="D51" s="222">
        <f>C51/C52</f>
        <v>11.319330105197457</v>
      </c>
      <c r="E51" s="18">
        <f>$E$43</f>
        <v>2773544</v>
      </c>
      <c r="F51" s="224">
        <f>E51/E52</f>
        <v>11.706601100329182</v>
      </c>
      <c r="G51" s="19">
        <f>$G$43</f>
        <v>2698088</v>
      </c>
      <c r="H51" s="226">
        <f>G51/G52</f>
        <v>12.850340600909337</v>
      </c>
      <c r="I51" s="18">
        <f>$I$43</f>
        <v>6935679</v>
      </c>
      <c r="J51" s="224">
        <f>I51/I52</f>
        <v>12.328654362795536</v>
      </c>
      <c r="K51" s="228"/>
      <c r="L51" s="89"/>
      <c r="M51" s="89"/>
      <c r="N51" s="26"/>
      <c r="O51" s="82"/>
    </row>
    <row r="52" spans="1:15" ht="19" customHeight="1" thickBot="1" x14ac:dyDescent="0.5">
      <c r="A52" s="221"/>
      <c r="B52" s="23" t="s">
        <v>44</v>
      </c>
      <c r="C52" s="24">
        <f>$C$49</f>
        <v>255779.71249999999</v>
      </c>
      <c r="D52" s="223"/>
      <c r="E52" s="24">
        <f>$E$49</f>
        <v>236921.3725</v>
      </c>
      <c r="F52" s="225"/>
      <c r="G52" s="25">
        <f>$G$45+$G$47</f>
        <v>209962.3725</v>
      </c>
      <c r="H52" s="227"/>
      <c r="I52" s="24">
        <f>$I$47+$I$45</f>
        <v>562565.77529904305</v>
      </c>
      <c r="J52" s="225"/>
      <c r="K52" s="229"/>
      <c r="L52" s="89"/>
      <c r="M52" s="89"/>
      <c r="N52" s="26"/>
      <c r="O52" s="82"/>
    </row>
    <row r="53" spans="1:15" ht="18" customHeight="1" x14ac:dyDescent="0.45">
      <c r="C53" s="26"/>
      <c r="D53" s="29"/>
      <c r="E53" s="26"/>
      <c r="F53" s="29"/>
      <c r="I53" s="33"/>
      <c r="N53" s="26"/>
    </row>
    <row r="54" spans="1:15" ht="18" customHeight="1" x14ac:dyDescent="0.45">
      <c r="E54" s="57"/>
      <c r="F54" s="57"/>
      <c r="G54" s="76"/>
      <c r="H54" s="76"/>
      <c r="I54" s="76"/>
      <c r="J54" s="76"/>
      <c r="N54" s="26"/>
    </row>
    <row r="55" spans="1:15" ht="18" customHeight="1" x14ac:dyDescent="0.45">
      <c r="E55" s="78"/>
      <c r="F55" s="78"/>
      <c r="G55" s="77"/>
      <c r="H55" s="77"/>
      <c r="I55" s="77"/>
      <c r="J55" s="77"/>
      <c r="N55" s="26"/>
    </row>
    <row r="56" spans="1:15" ht="18" customHeight="1" x14ac:dyDescent="0.45">
      <c r="G56" s="76"/>
      <c r="N56" s="26"/>
    </row>
    <row r="57" spans="1:15" ht="18" customHeight="1" x14ac:dyDescent="0.45">
      <c r="E57" s="57"/>
      <c r="G57" s="76"/>
      <c r="N57" s="26"/>
    </row>
    <row r="58" spans="1:15" ht="16" customHeight="1" x14ac:dyDescent="0.45">
      <c r="N58" s="26"/>
    </row>
    <row r="59" spans="1:15" ht="16" customHeight="1" x14ac:dyDescent="0.45">
      <c r="N59" s="26"/>
    </row>
    <row r="60" spans="1:15" ht="16" customHeight="1" x14ac:dyDescent="0.45">
      <c r="N60" s="26"/>
    </row>
    <row r="61" spans="1:15" ht="16" customHeight="1" x14ac:dyDescent="0.45">
      <c r="N61" s="26"/>
    </row>
    <row r="62" spans="1:15" ht="16" customHeight="1" x14ac:dyDescent="0.45">
      <c r="N62" s="26"/>
    </row>
    <row r="63" spans="1:15" ht="16" customHeight="1" x14ac:dyDescent="0.45">
      <c r="N63" s="26"/>
    </row>
    <row r="64" spans="1:15" ht="16" customHeight="1" x14ac:dyDescent="0.45">
      <c r="N64" s="26"/>
    </row>
    <row r="65" ht="16" customHeight="1" x14ac:dyDescent="0.45"/>
    <row r="66" ht="16" customHeight="1" x14ac:dyDescent="0.45"/>
    <row r="67" ht="16" customHeight="1" x14ac:dyDescent="0.45"/>
    <row r="68" ht="16" customHeight="1" x14ac:dyDescent="0.45"/>
    <row r="69" ht="16" customHeight="1" x14ac:dyDescent="0.45"/>
    <row r="70" ht="16" customHeight="1" x14ac:dyDescent="0.45"/>
    <row r="71" ht="16" customHeight="1" x14ac:dyDescent="0.45"/>
    <row r="72" ht="16" customHeight="1" x14ac:dyDescent="0.45"/>
    <row r="73" ht="16" customHeight="1" x14ac:dyDescent="0.45"/>
  </sheetData>
  <mergeCells count="123">
    <mergeCell ref="A10:A11"/>
    <mergeCell ref="D10:D11"/>
    <mergeCell ref="F10:F11"/>
    <mergeCell ref="H10:H11"/>
    <mergeCell ref="J10:J11"/>
    <mergeCell ref="K10:K11"/>
    <mergeCell ref="K6:K7"/>
    <mergeCell ref="A8:A9"/>
    <mergeCell ref="D8:D9"/>
    <mergeCell ref="F8:F9"/>
    <mergeCell ref="H8:H9"/>
    <mergeCell ref="J8:J9"/>
    <mergeCell ref="K8:K9"/>
    <mergeCell ref="A6:A7"/>
    <mergeCell ref="B6:B7"/>
    <mergeCell ref="C6:D6"/>
    <mergeCell ref="E6:F6"/>
    <mergeCell ref="G6:H6"/>
    <mergeCell ref="I6:J6"/>
    <mergeCell ref="K14:K15"/>
    <mergeCell ref="D16:D17"/>
    <mergeCell ref="F16:F17"/>
    <mergeCell ref="H16:H17"/>
    <mergeCell ref="J16:J17"/>
    <mergeCell ref="K16:K17"/>
    <mergeCell ref="A12:A17"/>
    <mergeCell ref="D12:D13"/>
    <mergeCell ref="F12:F13"/>
    <mergeCell ref="H12:H13"/>
    <mergeCell ref="J12:J13"/>
    <mergeCell ref="K12:K13"/>
    <mergeCell ref="D14:D15"/>
    <mergeCell ref="F14:F15"/>
    <mergeCell ref="H14:H15"/>
    <mergeCell ref="J14:J15"/>
    <mergeCell ref="K20:K21"/>
    <mergeCell ref="D22:D23"/>
    <mergeCell ref="F22:F23"/>
    <mergeCell ref="H22:H23"/>
    <mergeCell ref="J22:J23"/>
    <mergeCell ref="K22:K23"/>
    <mergeCell ref="A18:A23"/>
    <mergeCell ref="D18:D19"/>
    <mergeCell ref="F18:F19"/>
    <mergeCell ref="H18:H19"/>
    <mergeCell ref="J18:J19"/>
    <mergeCell ref="K18:K19"/>
    <mergeCell ref="D20:D21"/>
    <mergeCell ref="F20:F21"/>
    <mergeCell ref="H20:H21"/>
    <mergeCell ref="J20:J21"/>
    <mergeCell ref="K26:K27"/>
    <mergeCell ref="D28:D29"/>
    <mergeCell ref="F28:F29"/>
    <mergeCell ref="H28:H29"/>
    <mergeCell ref="J28:J29"/>
    <mergeCell ref="K28:K29"/>
    <mergeCell ref="A24:A29"/>
    <mergeCell ref="D24:D25"/>
    <mergeCell ref="F24:F25"/>
    <mergeCell ref="H24:H25"/>
    <mergeCell ref="J24:J25"/>
    <mergeCell ref="K24:K25"/>
    <mergeCell ref="D26:D27"/>
    <mergeCell ref="F26:F27"/>
    <mergeCell ref="H26:H27"/>
    <mergeCell ref="J26:J27"/>
    <mergeCell ref="K32:K33"/>
    <mergeCell ref="A37:A38"/>
    <mergeCell ref="B37:B38"/>
    <mergeCell ref="C37:D37"/>
    <mergeCell ref="E37:F37"/>
    <mergeCell ref="G37:H37"/>
    <mergeCell ref="I37:J37"/>
    <mergeCell ref="K37:K38"/>
    <mergeCell ref="C31:D31"/>
    <mergeCell ref="E31:F31"/>
    <mergeCell ref="G31:H31"/>
    <mergeCell ref="I31:J31"/>
    <mergeCell ref="D32:D33"/>
    <mergeCell ref="F32:F33"/>
    <mergeCell ref="H32:H33"/>
    <mergeCell ref="J32:J33"/>
    <mergeCell ref="C34:D34"/>
    <mergeCell ref="E34:F34"/>
    <mergeCell ref="K41:K42"/>
    <mergeCell ref="A43:A44"/>
    <mergeCell ref="D43:D44"/>
    <mergeCell ref="F43:F44"/>
    <mergeCell ref="H43:H44"/>
    <mergeCell ref="J43:J44"/>
    <mergeCell ref="K43:K44"/>
    <mergeCell ref="D39:D40"/>
    <mergeCell ref="F39:F40"/>
    <mergeCell ref="H39:H40"/>
    <mergeCell ref="J39:J40"/>
    <mergeCell ref="A41:A42"/>
    <mergeCell ref="D41:D42"/>
    <mergeCell ref="F41:F42"/>
    <mergeCell ref="H41:H42"/>
    <mergeCell ref="J41:J42"/>
    <mergeCell ref="A51:A52"/>
    <mergeCell ref="D51:D52"/>
    <mergeCell ref="F51:F52"/>
    <mergeCell ref="H51:H52"/>
    <mergeCell ref="J51:J52"/>
    <mergeCell ref="K51:K52"/>
    <mergeCell ref="J47:J48"/>
    <mergeCell ref="K47:K48"/>
    <mergeCell ref="D49:D50"/>
    <mergeCell ref="F49:F50"/>
    <mergeCell ref="H49:H50"/>
    <mergeCell ref="J49:J50"/>
    <mergeCell ref="K49:K50"/>
    <mergeCell ref="A45:A50"/>
    <mergeCell ref="D45:D46"/>
    <mergeCell ref="F45:F46"/>
    <mergeCell ref="H45:H46"/>
    <mergeCell ref="J45:J46"/>
    <mergeCell ref="K45:K46"/>
    <mergeCell ref="D47:D48"/>
    <mergeCell ref="F47:F48"/>
    <mergeCell ref="H47:H48"/>
  </mergeCells>
  <phoneticPr fontId="1" type="noConversion"/>
  <printOptions horizontalCentered="1"/>
  <pageMargins left="0.62992125984251968" right="0.35433070866141736" top="0.78740157480314965" bottom="0.78740157480314965" header="0.51181102362204722" footer="0.51181102362204722"/>
  <pageSetup paperSize="9" scale="76" firstPageNumber="7" orientation="portrait" useFirstPageNumber="1" r:id="rId1"/>
  <headerFooter>
    <oddFooter>&amp;C&amp;"바탕,굵게"- 8 -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36B5A-09AC-4E8A-BAEB-A73EBF59F6D0}">
  <sheetPr>
    <tabColor rgb="FFFFFF00"/>
    <pageSetUpPr fitToPage="1"/>
  </sheetPr>
  <dimension ref="A1:Z86"/>
  <sheetViews>
    <sheetView topLeftCell="A37" zoomScale="130" zoomScaleNormal="130" workbookViewId="0">
      <selection activeCell="A35" sqref="A35"/>
    </sheetView>
  </sheetViews>
  <sheetFormatPr defaultRowHeight="20.149999999999999" customHeight="1" x14ac:dyDescent="0.45"/>
  <cols>
    <col min="1" max="1" width="11.08203125" style="1" customWidth="1"/>
    <col min="2" max="2" width="14.08203125" style="1" customWidth="1"/>
    <col min="3" max="3" width="11.08203125" style="52" customWidth="1"/>
    <col min="4" max="4" width="9.08203125" style="53" customWidth="1"/>
    <col min="5" max="5" width="11.08203125" style="52" customWidth="1"/>
    <col min="6" max="6" width="9.08203125" style="53" customWidth="1"/>
    <col min="7" max="7" width="11.08203125" style="1" customWidth="1"/>
    <col min="8" max="8" width="9.08203125" style="2" customWidth="1"/>
    <col min="9" max="9" width="12.58203125" style="1" customWidth="1"/>
    <col min="10" max="10" width="8.08203125" style="2" customWidth="1"/>
    <col min="11" max="11" width="5.58203125" style="1" customWidth="1"/>
    <col min="12" max="12" width="1.1640625" style="1" customWidth="1"/>
    <col min="13" max="13" width="9.5" style="1" bestFit="1" customWidth="1"/>
    <col min="14" max="22" width="8.5" style="84" bestFit="1" customWidth="1"/>
    <col min="23" max="25" width="9.25" style="84" bestFit="1" customWidth="1"/>
    <col min="26" max="26" width="9.08203125" style="84" bestFit="1" customWidth="1"/>
    <col min="27" max="242" width="8.6640625" style="1"/>
    <col min="243" max="243" width="12.25" style="1" customWidth="1"/>
    <col min="244" max="244" width="16.25" style="1" customWidth="1"/>
    <col min="245" max="245" width="10.58203125" style="1" customWidth="1"/>
    <col min="246" max="246" width="7.83203125" style="1" customWidth="1"/>
    <col min="247" max="247" width="10.58203125" style="1" customWidth="1"/>
    <col min="248" max="248" width="10.08203125" style="1" customWidth="1"/>
    <col min="249" max="249" width="11.25" style="1" customWidth="1"/>
    <col min="250" max="250" width="8.83203125" style="1" customWidth="1"/>
    <col min="251" max="251" width="16.75" style="1" bestFit="1" customWidth="1"/>
    <col min="252" max="252" width="9" style="1" customWidth="1"/>
    <col min="253" max="253" width="7.83203125" style="1" customWidth="1"/>
    <col min="254" max="254" width="8.33203125" style="1" customWidth="1"/>
    <col min="255" max="255" width="9.75" style="1" customWidth="1"/>
    <col min="256" max="498" width="8.6640625" style="1"/>
    <col min="499" max="499" width="12.25" style="1" customWidth="1"/>
    <col min="500" max="500" width="16.25" style="1" customWidth="1"/>
    <col min="501" max="501" width="10.58203125" style="1" customWidth="1"/>
    <col min="502" max="502" width="7.83203125" style="1" customWidth="1"/>
    <col min="503" max="503" width="10.58203125" style="1" customWidth="1"/>
    <col min="504" max="504" width="10.08203125" style="1" customWidth="1"/>
    <col min="505" max="505" width="11.25" style="1" customWidth="1"/>
    <col min="506" max="506" width="8.83203125" style="1" customWidth="1"/>
    <col min="507" max="507" width="16.75" style="1" bestFit="1" customWidth="1"/>
    <col min="508" max="508" width="9" style="1" customWidth="1"/>
    <col min="509" max="509" width="7.83203125" style="1" customWidth="1"/>
    <col min="510" max="510" width="8.33203125" style="1" customWidth="1"/>
    <col min="511" max="511" width="9.75" style="1" customWidth="1"/>
    <col min="512" max="754" width="8.6640625" style="1"/>
    <col min="755" max="755" width="12.25" style="1" customWidth="1"/>
    <col min="756" max="756" width="16.25" style="1" customWidth="1"/>
    <col min="757" max="757" width="10.58203125" style="1" customWidth="1"/>
    <col min="758" max="758" width="7.83203125" style="1" customWidth="1"/>
    <col min="759" max="759" width="10.58203125" style="1" customWidth="1"/>
    <col min="760" max="760" width="10.08203125" style="1" customWidth="1"/>
    <col min="761" max="761" width="11.25" style="1" customWidth="1"/>
    <col min="762" max="762" width="8.83203125" style="1" customWidth="1"/>
    <col min="763" max="763" width="16.75" style="1" bestFit="1" customWidth="1"/>
    <col min="764" max="764" width="9" style="1" customWidth="1"/>
    <col min="765" max="765" width="7.83203125" style="1" customWidth="1"/>
    <col min="766" max="766" width="8.33203125" style="1" customWidth="1"/>
    <col min="767" max="767" width="9.75" style="1" customWidth="1"/>
    <col min="768" max="1010" width="8.6640625" style="1"/>
    <col min="1011" max="1011" width="12.25" style="1" customWidth="1"/>
    <col min="1012" max="1012" width="16.25" style="1" customWidth="1"/>
    <col min="1013" max="1013" width="10.58203125" style="1" customWidth="1"/>
    <col min="1014" max="1014" width="7.83203125" style="1" customWidth="1"/>
    <col min="1015" max="1015" width="10.58203125" style="1" customWidth="1"/>
    <col min="1016" max="1016" width="10.08203125" style="1" customWidth="1"/>
    <col min="1017" max="1017" width="11.25" style="1" customWidth="1"/>
    <col min="1018" max="1018" width="8.83203125" style="1" customWidth="1"/>
    <col min="1019" max="1019" width="16.75" style="1" bestFit="1" customWidth="1"/>
    <col min="1020" max="1020" width="9" style="1" customWidth="1"/>
    <col min="1021" max="1021" width="7.83203125" style="1" customWidth="1"/>
    <col min="1022" max="1022" width="8.33203125" style="1" customWidth="1"/>
    <col min="1023" max="1023" width="9.75" style="1" customWidth="1"/>
    <col min="1024" max="1266" width="8.6640625" style="1"/>
    <col min="1267" max="1267" width="12.25" style="1" customWidth="1"/>
    <col min="1268" max="1268" width="16.25" style="1" customWidth="1"/>
    <col min="1269" max="1269" width="10.58203125" style="1" customWidth="1"/>
    <col min="1270" max="1270" width="7.83203125" style="1" customWidth="1"/>
    <col min="1271" max="1271" width="10.58203125" style="1" customWidth="1"/>
    <col min="1272" max="1272" width="10.08203125" style="1" customWidth="1"/>
    <col min="1273" max="1273" width="11.25" style="1" customWidth="1"/>
    <col min="1274" max="1274" width="8.83203125" style="1" customWidth="1"/>
    <col min="1275" max="1275" width="16.75" style="1" bestFit="1" customWidth="1"/>
    <col min="1276" max="1276" width="9" style="1" customWidth="1"/>
    <col min="1277" max="1277" width="7.83203125" style="1" customWidth="1"/>
    <col min="1278" max="1278" width="8.33203125" style="1" customWidth="1"/>
    <col min="1279" max="1279" width="9.75" style="1" customWidth="1"/>
    <col min="1280" max="1522" width="8.6640625" style="1"/>
    <col min="1523" max="1523" width="12.25" style="1" customWidth="1"/>
    <col min="1524" max="1524" width="16.25" style="1" customWidth="1"/>
    <col min="1525" max="1525" width="10.58203125" style="1" customWidth="1"/>
    <col min="1526" max="1526" width="7.83203125" style="1" customWidth="1"/>
    <col min="1527" max="1527" width="10.58203125" style="1" customWidth="1"/>
    <col min="1528" max="1528" width="10.08203125" style="1" customWidth="1"/>
    <col min="1529" max="1529" width="11.25" style="1" customWidth="1"/>
    <col min="1530" max="1530" width="8.83203125" style="1" customWidth="1"/>
    <col min="1531" max="1531" width="16.75" style="1" bestFit="1" customWidth="1"/>
    <col min="1532" max="1532" width="9" style="1" customWidth="1"/>
    <col min="1533" max="1533" width="7.83203125" style="1" customWidth="1"/>
    <col min="1534" max="1534" width="8.33203125" style="1" customWidth="1"/>
    <col min="1535" max="1535" width="9.75" style="1" customWidth="1"/>
    <col min="1536" max="1778" width="8.6640625" style="1"/>
    <col min="1779" max="1779" width="12.25" style="1" customWidth="1"/>
    <col min="1780" max="1780" width="16.25" style="1" customWidth="1"/>
    <col min="1781" max="1781" width="10.58203125" style="1" customWidth="1"/>
    <col min="1782" max="1782" width="7.83203125" style="1" customWidth="1"/>
    <col min="1783" max="1783" width="10.58203125" style="1" customWidth="1"/>
    <col min="1784" max="1784" width="10.08203125" style="1" customWidth="1"/>
    <col min="1785" max="1785" width="11.25" style="1" customWidth="1"/>
    <col min="1786" max="1786" width="8.83203125" style="1" customWidth="1"/>
    <col min="1787" max="1787" width="16.75" style="1" bestFit="1" customWidth="1"/>
    <col min="1788" max="1788" width="9" style="1" customWidth="1"/>
    <col min="1789" max="1789" width="7.83203125" style="1" customWidth="1"/>
    <col min="1790" max="1790" width="8.33203125" style="1" customWidth="1"/>
    <col min="1791" max="1791" width="9.75" style="1" customWidth="1"/>
    <col min="1792" max="2034" width="8.6640625" style="1"/>
    <col min="2035" max="2035" width="12.25" style="1" customWidth="1"/>
    <col min="2036" max="2036" width="16.25" style="1" customWidth="1"/>
    <col min="2037" max="2037" width="10.58203125" style="1" customWidth="1"/>
    <col min="2038" max="2038" width="7.83203125" style="1" customWidth="1"/>
    <col min="2039" max="2039" width="10.58203125" style="1" customWidth="1"/>
    <col min="2040" max="2040" width="10.08203125" style="1" customWidth="1"/>
    <col min="2041" max="2041" width="11.25" style="1" customWidth="1"/>
    <col min="2042" max="2042" width="8.83203125" style="1" customWidth="1"/>
    <col min="2043" max="2043" width="16.75" style="1" bestFit="1" customWidth="1"/>
    <col min="2044" max="2044" width="9" style="1" customWidth="1"/>
    <col min="2045" max="2045" width="7.83203125" style="1" customWidth="1"/>
    <col min="2046" max="2046" width="8.33203125" style="1" customWidth="1"/>
    <col min="2047" max="2047" width="9.75" style="1" customWidth="1"/>
    <col min="2048" max="2290" width="8.6640625" style="1"/>
    <col min="2291" max="2291" width="12.25" style="1" customWidth="1"/>
    <col min="2292" max="2292" width="16.25" style="1" customWidth="1"/>
    <col min="2293" max="2293" width="10.58203125" style="1" customWidth="1"/>
    <col min="2294" max="2294" width="7.83203125" style="1" customWidth="1"/>
    <col min="2295" max="2295" width="10.58203125" style="1" customWidth="1"/>
    <col min="2296" max="2296" width="10.08203125" style="1" customWidth="1"/>
    <col min="2297" max="2297" width="11.25" style="1" customWidth="1"/>
    <col min="2298" max="2298" width="8.83203125" style="1" customWidth="1"/>
    <col min="2299" max="2299" width="16.75" style="1" bestFit="1" customWidth="1"/>
    <col min="2300" max="2300" width="9" style="1" customWidth="1"/>
    <col min="2301" max="2301" width="7.83203125" style="1" customWidth="1"/>
    <col min="2302" max="2302" width="8.33203125" style="1" customWidth="1"/>
    <col min="2303" max="2303" width="9.75" style="1" customWidth="1"/>
    <col min="2304" max="2546" width="8.6640625" style="1"/>
    <col min="2547" max="2547" width="12.25" style="1" customWidth="1"/>
    <col min="2548" max="2548" width="16.25" style="1" customWidth="1"/>
    <col min="2549" max="2549" width="10.58203125" style="1" customWidth="1"/>
    <col min="2550" max="2550" width="7.83203125" style="1" customWidth="1"/>
    <col min="2551" max="2551" width="10.58203125" style="1" customWidth="1"/>
    <col min="2552" max="2552" width="10.08203125" style="1" customWidth="1"/>
    <col min="2553" max="2553" width="11.25" style="1" customWidth="1"/>
    <col min="2554" max="2554" width="8.83203125" style="1" customWidth="1"/>
    <col min="2555" max="2555" width="16.75" style="1" bestFit="1" customWidth="1"/>
    <col min="2556" max="2556" width="9" style="1" customWidth="1"/>
    <col min="2557" max="2557" width="7.83203125" style="1" customWidth="1"/>
    <col min="2558" max="2558" width="8.33203125" style="1" customWidth="1"/>
    <col min="2559" max="2559" width="9.75" style="1" customWidth="1"/>
    <col min="2560" max="2802" width="8.6640625" style="1"/>
    <col min="2803" max="2803" width="12.25" style="1" customWidth="1"/>
    <col min="2804" max="2804" width="16.25" style="1" customWidth="1"/>
    <col min="2805" max="2805" width="10.58203125" style="1" customWidth="1"/>
    <col min="2806" max="2806" width="7.83203125" style="1" customWidth="1"/>
    <col min="2807" max="2807" width="10.58203125" style="1" customWidth="1"/>
    <col min="2808" max="2808" width="10.08203125" style="1" customWidth="1"/>
    <col min="2809" max="2809" width="11.25" style="1" customWidth="1"/>
    <col min="2810" max="2810" width="8.83203125" style="1" customWidth="1"/>
    <col min="2811" max="2811" width="16.75" style="1" bestFit="1" customWidth="1"/>
    <col min="2812" max="2812" width="9" style="1" customWidth="1"/>
    <col min="2813" max="2813" width="7.83203125" style="1" customWidth="1"/>
    <col min="2814" max="2814" width="8.33203125" style="1" customWidth="1"/>
    <col min="2815" max="2815" width="9.75" style="1" customWidth="1"/>
    <col min="2816" max="3058" width="8.6640625" style="1"/>
    <col min="3059" max="3059" width="12.25" style="1" customWidth="1"/>
    <col min="3060" max="3060" width="16.25" style="1" customWidth="1"/>
    <col min="3061" max="3061" width="10.58203125" style="1" customWidth="1"/>
    <col min="3062" max="3062" width="7.83203125" style="1" customWidth="1"/>
    <col min="3063" max="3063" width="10.58203125" style="1" customWidth="1"/>
    <col min="3064" max="3064" width="10.08203125" style="1" customWidth="1"/>
    <col min="3065" max="3065" width="11.25" style="1" customWidth="1"/>
    <col min="3066" max="3066" width="8.83203125" style="1" customWidth="1"/>
    <col min="3067" max="3067" width="16.75" style="1" bestFit="1" customWidth="1"/>
    <col min="3068" max="3068" width="9" style="1" customWidth="1"/>
    <col min="3069" max="3069" width="7.83203125" style="1" customWidth="1"/>
    <col min="3070" max="3070" width="8.33203125" style="1" customWidth="1"/>
    <col min="3071" max="3071" width="9.75" style="1" customWidth="1"/>
    <col min="3072" max="3314" width="8.6640625" style="1"/>
    <col min="3315" max="3315" width="12.25" style="1" customWidth="1"/>
    <col min="3316" max="3316" width="16.25" style="1" customWidth="1"/>
    <col min="3317" max="3317" width="10.58203125" style="1" customWidth="1"/>
    <col min="3318" max="3318" width="7.83203125" style="1" customWidth="1"/>
    <col min="3319" max="3319" width="10.58203125" style="1" customWidth="1"/>
    <col min="3320" max="3320" width="10.08203125" style="1" customWidth="1"/>
    <col min="3321" max="3321" width="11.25" style="1" customWidth="1"/>
    <col min="3322" max="3322" width="8.83203125" style="1" customWidth="1"/>
    <col min="3323" max="3323" width="16.75" style="1" bestFit="1" customWidth="1"/>
    <col min="3324" max="3324" width="9" style="1" customWidth="1"/>
    <col min="3325" max="3325" width="7.83203125" style="1" customWidth="1"/>
    <col min="3326" max="3326" width="8.33203125" style="1" customWidth="1"/>
    <col min="3327" max="3327" width="9.75" style="1" customWidth="1"/>
    <col min="3328" max="3570" width="8.6640625" style="1"/>
    <col min="3571" max="3571" width="12.25" style="1" customWidth="1"/>
    <col min="3572" max="3572" width="16.25" style="1" customWidth="1"/>
    <col min="3573" max="3573" width="10.58203125" style="1" customWidth="1"/>
    <col min="3574" max="3574" width="7.83203125" style="1" customWidth="1"/>
    <col min="3575" max="3575" width="10.58203125" style="1" customWidth="1"/>
    <col min="3576" max="3576" width="10.08203125" style="1" customWidth="1"/>
    <col min="3577" max="3577" width="11.25" style="1" customWidth="1"/>
    <col min="3578" max="3578" width="8.83203125" style="1" customWidth="1"/>
    <col min="3579" max="3579" width="16.75" style="1" bestFit="1" customWidth="1"/>
    <col min="3580" max="3580" width="9" style="1" customWidth="1"/>
    <col min="3581" max="3581" width="7.83203125" style="1" customWidth="1"/>
    <col min="3582" max="3582" width="8.33203125" style="1" customWidth="1"/>
    <col min="3583" max="3583" width="9.75" style="1" customWidth="1"/>
    <col min="3584" max="3826" width="8.6640625" style="1"/>
    <col min="3827" max="3827" width="12.25" style="1" customWidth="1"/>
    <col min="3828" max="3828" width="16.25" style="1" customWidth="1"/>
    <col min="3829" max="3829" width="10.58203125" style="1" customWidth="1"/>
    <col min="3830" max="3830" width="7.83203125" style="1" customWidth="1"/>
    <col min="3831" max="3831" width="10.58203125" style="1" customWidth="1"/>
    <col min="3832" max="3832" width="10.08203125" style="1" customWidth="1"/>
    <col min="3833" max="3833" width="11.25" style="1" customWidth="1"/>
    <col min="3834" max="3834" width="8.83203125" style="1" customWidth="1"/>
    <col min="3835" max="3835" width="16.75" style="1" bestFit="1" customWidth="1"/>
    <col min="3836" max="3836" width="9" style="1" customWidth="1"/>
    <col min="3837" max="3837" width="7.83203125" style="1" customWidth="1"/>
    <col min="3838" max="3838" width="8.33203125" style="1" customWidth="1"/>
    <col min="3839" max="3839" width="9.75" style="1" customWidth="1"/>
    <col min="3840" max="4082" width="8.6640625" style="1"/>
    <col min="4083" max="4083" width="12.25" style="1" customWidth="1"/>
    <col min="4084" max="4084" width="16.25" style="1" customWidth="1"/>
    <col min="4085" max="4085" width="10.58203125" style="1" customWidth="1"/>
    <col min="4086" max="4086" width="7.83203125" style="1" customWidth="1"/>
    <col min="4087" max="4087" width="10.58203125" style="1" customWidth="1"/>
    <col min="4088" max="4088" width="10.08203125" style="1" customWidth="1"/>
    <col min="4089" max="4089" width="11.25" style="1" customWidth="1"/>
    <col min="4090" max="4090" width="8.83203125" style="1" customWidth="1"/>
    <col min="4091" max="4091" width="16.75" style="1" bestFit="1" customWidth="1"/>
    <col min="4092" max="4092" width="9" style="1" customWidth="1"/>
    <col min="4093" max="4093" width="7.83203125" style="1" customWidth="1"/>
    <col min="4094" max="4094" width="8.33203125" style="1" customWidth="1"/>
    <col min="4095" max="4095" width="9.75" style="1" customWidth="1"/>
    <col min="4096" max="4338" width="8.6640625" style="1"/>
    <col min="4339" max="4339" width="12.25" style="1" customWidth="1"/>
    <col min="4340" max="4340" width="16.25" style="1" customWidth="1"/>
    <col min="4341" max="4341" width="10.58203125" style="1" customWidth="1"/>
    <col min="4342" max="4342" width="7.83203125" style="1" customWidth="1"/>
    <col min="4343" max="4343" width="10.58203125" style="1" customWidth="1"/>
    <col min="4344" max="4344" width="10.08203125" style="1" customWidth="1"/>
    <col min="4345" max="4345" width="11.25" style="1" customWidth="1"/>
    <col min="4346" max="4346" width="8.83203125" style="1" customWidth="1"/>
    <col min="4347" max="4347" width="16.75" style="1" bestFit="1" customWidth="1"/>
    <col min="4348" max="4348" width="9" style="1" customWidth="1"/>
    <col min="4349" max="4349" width="7.83203125" style="1" customWidth="1"/>
    <col min="4350" max="4350" width="8.33203125" style="1" customWidth="1"/>
    <col min="4351" max="4351" width="9.75" style="1" customWidth="1"/>
    <col min="4352" max="4594" width="8.6640625" style="1"/>
    <col min="4595" max="4595" width="12.25" style="1" customWidth="1"/>
    <col min="4596" max="4596" width="16.25" style="1" customWidth="1"/>
    <col min="4597" max="4597" width="10.58203125" style="1" customWidth="1"/>
    <col min="4598" max="4598" width="7.83203125" style="1" customWidth="1"/>
    <col min="4599" max="4599" width="10.58203125" style="1" customWidth="1"/>
    <col min="4600" max="4600" width="10.08203125" style="1" customWidth="1"/>
    <col min="4601" max="4601" width="11.25" style="1" customWidth="1"/>
    <col min="4602" max="4602" width="8.83203125" style="1" customWidth="1"/>
    <col min="4603" max="4603" width="16.75" style="1" bestFit="1" customWidth="1"/>
    <col min="4604" max="4604" width="9" style="1" customWidth="1"/>
    <col min="4605" max="4605" width="7.83203125" style="1" customWidth="1"/>
    <col min="4606" max="4606" width="8.33203125" style="1" customWidth="1"/>
    <col min="4607" max="4607" width="9.75" style="1" customWidth="1"/>
    <col min="4608" max="4850" width="8.6640625" style="1"/>
    <col min="4851" max="4851" width="12.25" style="1" customWidth="1"/>
    <col min="4852" max="4852" width="16.25" style="1" customWidth="1"/>
    <col min="4853" max="4853" width="10.58203125" style="1" customWidth="1"/>
    <col min="4854" max="4854" width="7.83203125" style="1" customWidth="1"/>
    <col min="4855" max="4855" width="10.58203125" style="1" customWidth="1"/>
    <col min="4856" max="4856" width="10.08203125" style="1" customWidth="1"/>
    <col min="4857" max="4857" width="11.25" style="1" customWidth="1"/>
    <col min="4858" max="4858" width="8.83203125" style="1" customWidth="1"/>
    <col min="4859" max="4859" width="16.75" style="1" bestFit="1" customWidth="1"/>
    <col min="4860" max="4860" width="9" style="1" customWidth="1"/>
    <col min="4861" max="4861" width="7.83203125" style="1" customWidth="1"/>
    <col min="4862" max="4862" width="8.33203125" style="1" customWidth="1"/>
    <col min="4863" max="4863" width="9.75" style="1" customWidth="1"/>
    <col min="4864" max="5106" width="8.6640625" style="1"/>
    <col min="5107" max="5107" width="12.25" style="1" customWidth="1"/>
    <col min="5108" max="5108" width="16.25" style="1" customWidth="1"/>
    <col min="5109" max="5109" width="10.58203125" style="1" customWidth="1"/>
    <col min="5110" max="5110" width="7.83203125" style="1" customWidth="1"/>
    <col min="5111" max="5111" width="10.58203125" style="1" customWidth="1"/>
    <col min="5112" max="5112" width="10.08203125" style="1" customWidth="1"/>
    <col min="5113" max="5113" width="11.25" style="1" customWidth="1"/>
    <col min="5114" max="5114" width="8.83203125" style="1" customWidth="1"/>
    <col min="5115" max="5115" width="16.75" style="1" bestFit="1" customWidth="1"/>
    <col min="5116" max="5116" width="9" style="1" customWidth="1"/>
    <col min="5117" max="5117" width="7.83203125" style="1" customWidth="1"/>
    <col min="5118" max="5118" width="8.33203125" style="1" customWidth="1"/>
    <col min="5119" max="5119" width="9.75" style="1" customWidth="1"/>
    <col min="5120" max="5362" width="8.6640625" style="1"/>
    <col min="5363" max="5363" width="12.25" style="1" customWidth="1"/>
    <col min="5364" max="5364" width="16.25" style="1" customWidth="1"/>
    <col min="5365" max="5365" width="10.58203125" style="1" customWidth="1"/>
    <col min="5366" max="5366" width="7.83203125" style="1" customWidth="1"/>
    <col min="5367" max="5367" width="10.58203125" style="1" customWidth="1"/>
    <col min="5368" max="5368" width="10.08203125" style="1" customWidth="1"/>
    <col min="5369" max="5369" width="11.25" style="1" customWidth="1"/>
    <col min="5370" max="5370" width="8.83203125" style="1" customWidth="1"/>
    <col min="5371" max="5371" width="16.75" style="1" bestFit="1" customWidth="1"/>
    <col min="5372" max="5372" width="9" style="1" customWidth="1"/>
    <col min="5373" max="5373" width="7.83203125" style="1" customWidth="1"/>
    <col min="5374" max="5374" width="8.33203125" style="1" customWidth="1"/>
    <col min="5375" max="5375" width="9.75" style="1" customWidth="1"/>
    <col min="5376" max="5618" width="8.6640625" style="1"/>
    <col min="5619" max="5619" width="12.25" style="1" customWidth="1"/>
    <col min="5620" max="5620" width="16.25" style="1" customWidth="1"/>
    <col min="5621" max="5621" width="10.58203125" style="1" customWidth="1"/>
    <col min="5622" max="5622" width="7.83203125" style="1" customWidth="1"/>
    <col min="5623" max="5623" width="10.58203125" style="1" customWidth="1"/>
    <col min="5624" max="5624" width="10.08203125" style="1" customWidth="1"/>
    <col min="5625" max="5625" width="11.25" style="1" customWidth="1"/>
    <col min="5626" max="5626" width="8.83203125" style="1" customWidth="1"/>
    <col min="5627" max="5627" width="16.75" style="1" bestFit="1" customWidth="1"/>
    <col min="5628" max="5628" width="9" style="1" customWidth="1"/>
    <col min="5629" max="5629" width="7.83203125" style="1" customWidth="1"/>
    <col min="5630" max="5630" width="8.33203125" style="1" customWidth="1"/>
    <col min="5631" max="5631" width="9.75" style="1" customWidth="1"/>
    <col min="5632" max="5874" width="8.6640625" style="1"/>
    <col min="5875" max="5875" width="12.25" style="1" customWidth="1"/>
    <col min="5876" max="5876" width="16.25" style="1" customWidth="1"/>
    <col min="5877" max="5877" width="10.58203125" style="1" customWidth="1"/>
    <col min="5878" max="5878" width="7.83203125" style="1" customWidth="1"/>
    <col min="5879" max="5879" width="10.58203125" style="1" customWidth="1"/>
    <col min="5880" max="5880" width="10.08203125" style="1" customWidth="1"/>
    <col min="5881" max="5881" width="11.25" style="1" customWidth="1"/>
    <col min="5882" max="5882" width="8.83203125" style="1" customWidth="1"/>
    <col min="5883" max="5883" width="16.75" style="1" bestFit="1" customWidth="1"/>
    <col min="5884" max="5884" width="9" style="1" customWidth="1"/>
    <col min="5885" max="5885" width="7.83203125" style="1" customWidth="1"/>
    <col min="5886" max="5886" width="8.33203125" style="1" customWidth="1"/>
    <col min="5887" max="5887" width="9.75" style="1" customWidth="1"/>
    <col min="5888" max="6130" width="8.6640625" style="1"/>
    <col min="6131" max="6131" width="12.25" style="1" customWidth="1"/>
    <col min="6132" max="6132" width="16.25" style="1" customWidth="1"/>
    <col min="6133" max="6133" width="10.58203125" style="1" customWidth="1"/>
    <col min="6134" max="6134" width="7.83203125" style="1" customWidth="1"/>
    <col min="6135" max="6135" width="10.58203125" style="1" customWidth="1"/>
    <col min="6136" max="6136" width="10.08203125" style="1" customWidth="1"/>
    <col min="6137" max="6137" width="11.25" style="1" customWidth="1"/>
    <col min="6138" max="6138" width="8.83203125" style="1" customWidth="1"/>
    <col min="6139" max="6139" width="16.75" style="1" bestFit="1" customWidth="1"/>
    <col min="6140" max="6140" width="9" style="1" customWidth="1"/>
    <col min="6141" max="6141" width="7.83203125" style="1" customWidth="1"/>
    <col min="6142" max="6142" width="8.33203125" style="1" customWidth="1"/>
    <col min="6143" max="6143" width="9.75" style="1" customWidth="1"/>
    <col min="6144" max="6386" width="8.6640625" style="1"/>
    <col min="6387" max="6387" width="12.25" style="1" customWidth="1"/>
    <col min="6388" max="6388" width="16.25" style="1" customWidth="1"/>
    <col min="6389" max="6389" width="10.58203125" style="1" customWidth="1"/>
    <col min="6390" max="6390" width="7.83203125" style="1" customWidth="1"/>
    <col min="6391" max="6391" width="10.58203125" style="1" customWidth="1"/>
    <col min="6392" max="6392" width="10.08203125" style="1" customWidth="1"/>
    <col min="6393" max="6393" width="11.25" style="1" customWidth="1"/>
    <col min="6394" max="6394" width="8.83203125" style="1" customWidth="1"/>
    <col min="6395" max="6395" width="16.75" style="1" bestFit="1" customWidth="1"/>
    <col min="6396" max="6396" width="9" style="1" customWidth="1"/>
    <col min="6397" max="6397" width="7.83203125" style="1" customWidth="1"/>
    <col min="6398" max="6398" width="8.33203125" style="1" customWidth="1"/>
    <col min="6399" max="6399" width="9.75" style="1" customWidth="1"/>
    <col min="6400" max="6642" width="8.6640625" style="1"/>
    <col min="6643" max="6643" width="12.25" style="1" customWidth="1"/>
    <col min="6644" max="6644" width="16.25" style="1" customWidth="1"/>
    <col min="6645" max="6645" width="10.58203125" style="1" customWidth="1"/>
    <col min="6646" max="6646" width="7.83203125" style="1" customWidth="1"/>
    <col min="6647" max="6647" width="10.58203125" style="1" customWidth="1"/>
    <col min="6648" max="6648" width="10.08203125" style="1" customWidth="1"/>
    <col min="6649" max="6649" width="11.25" style="1" customWidth="1"/>
    <col min="6650" max="6650" width="8.83203125" style="1" customWidth="1"/>
    <col min="6651" max="6651" width="16.75" style="1" bestFit="1" customWidth="1"/>
    <col min="6652" max="6652" width="9" style="1" customWidth="1"/>
    <col min="6653" max="6653" width="7.83203125" style="1" customWidth="1"/>
    <col min="6654" max="6654" width="8.33203125" style="1" customWidth="1"/>
    <col min="6655" max="6655" width="9.75" style="1" customWidth="1"/>
    <col min="6656" max="6898" width="8.6640625" style="1"/>
    <col min="6899" max="6899" width="12.25" style="1" customWidth="1"/>
    <col min="6900" max="6900" width="16.25" style="1" customWidth="1"/>
    <col min="6901" max="6901" width="10.58203125" style="1" customWidth="1"/>
    <col min="6902" max="6902" width="7.83203125" style="1" customWidth="1"/>
    <col min="6903" max="6903" width="10.58203125" style="1" customWidth="1"/>
    <col min="6904" max="6904" width="10.08203125" style="1" customWidth="1"/>
    <col min="6905" max="6905" width="11.25" style="1" customWidth="1"/>
    <col min="6906" max="6906" width="8.83203125" style="1" customWidth="1"/>
    <col min="6907" max="6907" width="16.75" style="1" bestFit="1" customWidth="1"/>
    <col min="6908" max="6908" width="9" style="1" customWidth="1"/>
    <col min="6909" max="6909" width="7.83203125" style="1" customWidth="1"/>
    <col min="6910" max="6910" width="8.33203125" style="1" customWidth="1"/>
    <col min="6911" max="6911" width="9.75" style="1" customWidth="1"/>
    <col min="6912" max="7154" width="8.6640625" style="1"/>
    <col min="7155" max="7155" width="12.25" style="1" customWidth="1"/>
    <col min="7156" max="7156" width="16.25" style="1" customWidth="1"/>
    <col min="7157" max="7157" width="10.58203125" style="1" customWidth="1"/>
    <col min="7158" max="7158" width="7.83203125" style="1" customWidth="1"/>
    <col min="7159" max="7159" width="10.58203125" style="1" customWidth="1"/>
    <col min="7160" max="7160" width="10.08203125" style="1" customWidth="1"/>
    <col min="7161" max="7161" width="11.25" style="1" customWidth="1"/>
    <col min="7162" max="7162" width="8.83203125" style="1" customWidth="1"/>
    <col min="7163" max="7163" width="16.75" style="1" bestFit="1" customWidth="1"/>
    <col min="7164" max="7164" width="9" style="1" customWidth="1"/>
    <col min="7165" max="7165" width="7.83203125" style="1" customWidth="1"/>
    <col min="7166" max="7166" width="8.33203125" style="1" customWidth="1"/>
    <col min="7167" max="7167" width="9.75" style="1" customWidth="1"/>
    <col min="7168" max="7410" width="8.6640625" style="1"/>
    <col min="7411" max="7411" width="12.25" style="1" customWidth="1"/>
    <col min="7412" max="7412" width="16.25" style="1" customWidth="1"/>
    <col min="7413" max="7413" width="10.58203125" style="1" customWidth="1"/>
    <col min="7414" max="7414" width="7.83203125" style="1" customWidth="1"/>
    <col min="7415" max="7415" width="10.58203125" style="1" customWidth="1"/>
    <col min="7416" max="7416" width="10.08203125" style="1" customWidth="1"/>
    <col min="7417" max="7417" width="11.25" style="1" customWidth="1"/>
    <col min="7418" max="7418" width="8.83203125" style="1" customWidth="1"/>
    <col min="7419" max="7419" width="16.75" style="1" bestFit="1" customWidth="1"/>
    <col min="7420" max="7420" width="9" style="1" customWidth="1"/>
    <col min="7421" max="7421" width="7.83203125" style="1" customWidth="1"/>
    <col min="7422" max="7422" width="8.33203125" style="1" customWidth="1"/>
    <col min="7423" max="7423" width="9.75" style="1" customWidth="1"/>
    <col min="7424" max="7666" width="8.6640625" style="1"/>
    <col min="7667" max="7667" width="12.25" style="1" customWidth="1"/>
    <col min="7668" max="7668" width="16.25" style="1" customWidth="1"/>
    <col min="7669" max="7669" width="10.58203125" style="1" customWidth="1"/>
    <col min="7670" max="7670" width="7.83203125" style="1" customWidth="1"/>
    <col min="7671" max="7671" width="10.58203125" style="1" customWidth="1"/>
    <col min="7672" max="7672" width="10.08203125" style="1" customWidth="1"/>
    <col min="7673" max="7673" width="11.25" style="1" customWidth="1"/>
    <col min="7674" max="7674" width="8.83203125" style="1" customWidth="1"/>
    <col min="7675" max="7675" width="16.75" style="1" bestFit="1" customWidth="1"/>
    <col min="7676" max="7676" width="9" style="1" customWidth="1"/>
    <col min="7677" max="7677" width="7.83203125" style="1" customWidth="1"/>
    <col min="7678" max="7678" width="8.33203125" style="1" customWidth="1"/>
    <col min="7679" max="7679" width="9.75" style="1" customWidth="1"/>
    <col min="7680" max="7922" width="8.6640625" style="1"/>
    <col min="7923" max="7923" width="12.25" style="1" customWidth="1"/>
    <col min="7924" max="7924" width="16.25" style="1" customWidth="1"/>
    <col min="7925" max="7925" width="10.58203125" style="1" customWidth="1"/>
    <col min="7926" max="7926" width="7.83203125" style="1" customWidth="1"/>
    <col min="7927" max="7927" width="10.58203125" style="1" customWidth="1"/>
    <col min="7928" max="7928" width="10.08203125" style="1" customWidth="1"/>
    <col min="7929" max="7929" width="11.25" style="1" customWidth="1"/>
    <col min="7930" max="7930" width="8.83203125" style="1" customWidth="1"/>
    <col min="7931" max="7931" width="16.75" style="1" bestFit="1" customWidth="1"/>
    <col min="7932" max="7932" width="9" style="1" customWidth="1"/>
    <col min="7933" max="7933" width="7.83203125" style="1" customWidth="1"/>
    <col min="7934" max="7934" width="8.33203125" style="1" customWidth="1"/>
    <col min="7935" max="7935" width="9.75" style="1" customWidth="1"/>
    <col min="7936" max="8178" width="8.6640625" style="1"/>
    <col min="8179" max="8179" width="12.25" style="1" customWidth="1"/>
    <col min="8180" max="8180" width="16.25" style="1" customWidth="1"/>
    <col min="8181" max="8181" width="10.58203125" style="1" customWidth="1"/>
    <col min="8182" max="8182" width="7.83203125" style="1" customWidth="1"/>
    <col min="8183" max="8183" width="10.58203125" style="1" customWidth="1"/>
    <col min="8184" max="8184" width="10.08203125" style="1" customWidth="1"/>
    <col min="8185" max="8185" width="11.25" style="1" customWidth="1"/>
    <col min="8186" max="8186" width="8.83203125" style="1" customWidth="1"/>
    <col min="8187" max="8187" width="16.75" style="1" bestFit="1" customWidth="1"/>
    <col min="8188" max="8188" width="9" style="1" customWidth="1"/>
    <col min="8189" max="8189" width="7.83203125" style="1" customWidth="1"/>
    <col min="8190" max="8190" width="8.33203125" style="1" customWidth="1"/>
    <col min="8191" max="8191" width="9.75" style="1" customWidth="1"/>
    <col min="8192" max="8434" width="8.6640625" style="1"/>
    <col min="8435" max="8435" width="12.25" style="1" customWidth="1"/>
    <col min="8436" max="8436" width="16.25" style="1" customWidth="1"/>
    <col min="8437" max="8437" width="10.58203125" style="1" customWidth="1"/>
    <col min="8438" max="8438" width="7.83203125" style="1" customWidth="1"/>
    <col min="8439" max="8439" width="10.58203125" style="1" customWidth="1"/>
    <col min="8440" max="8440" width="10.08203125" style="1" customWidth="1"/>
    <col min="8441" max="8441" width="11.25" style="1" customWidth="1"/>
    <col min="8442" max="8442" width="8.83203125" style="1" customWidth="1"/>
    <col min="8443" max="8443" width="16.75" style="1" bestFit="1" customWidth="1"/>
    <col min="8444" max="8444" width="9" style="1" customWidth="1"/>
    <col min="8445" max="8445" width="7.83203125" style="1" customWidth="1"/>
    <col min="8446" max="8446" width="8.33203125" style="1" customWidth="1"/>
    <col min="8447" max="8447" width="9.75" style="1" customWidth="1"/>
    <col min="8448" max="8690" width="8.6640625" style="1"/>
    <col min="8691" max="8691" width="12.25" style="1" customWidth="1"/>
    <col min="8692" max="8692" width="16.25" style="1" customWidth="1"/>
    <col min="8693" max="8693" width="10.58203125" style="1" customWidth="1"/>
    <col min="8694" max="8694" width="7.83203125" style="1" customWidth="1"/>
    <col min="8695" max="8695" width="10.58203125" style="1" customWidth="1"/>
    <col min="8696" max="8696" width="10.08203125" style="1" customWidth="1"/>
    <col min="8697" max="8697" width="11.25" style="1" customWidth="1"/>
    <col min="8698" max="8698" width="8.83203125" style="1" customWidth="1"/>
    <col min="8699" max="8699" width="16.75" style="1" bestFit="1" customWidth="1"/>
    <col min="8700" max="8700" width="9" style="1" customWidth="1"/>
    <col min="8701" max="8701" width="7.83203125" style="1" customWidth="1"/>
    <col min="8702" max="8702" width="8.33203125" style="1" customWidth="1"/>
    <col min="8703" max="8703" width="9.75" style="1" customWidth="1"/>
    <col min="8704" max="8946" width="8.6640625" style="1"/>
    <col min="8947" max="8947" width="12.25" style="1" customWidth="1"/>
    <col min="8948" max="8948" width="16.25" style="1" customWidth="1"/>
    <col min="8949" max="8949" width="10.58203125" style="1" customWidth="1"/>
    <col min="8950" max="8950" width="7.83203125" style="1" customWidth="1"/>
    <col min="8951" max="8951" width="10.58203125" style="1" customWidth="1"/>
    <col min="8952" max="8952" width="10.08203125" style="1" customWidth="1"/>
    <col min="8953" max="8953" width="11.25" style="1" customWidth="1"/>
    <col min="8954" max="8954" width="8.83203125" style="1" customWidth="1"/>
    <col min="8955" max="8955" width="16.75" style="1" bestFit="1" customWidth="1"/>
    <col min="8956" max="8956" width="9" style="1" customWidth="1"/>
    <col min="8957" max="8957" width="7.83203125" style="1" customWidth="1"/>
    <col min="8958" max="8958" width="8.33203125" style="1" customWidth="1"/>
    <col min="8959" max="8959" width="9.75" style="1" customWidth="1"/>
    <col min="8960" max="9202" width="8.6640625" style="1"/>
    <col min="9203" max="9203" width="12.25" style="1" customWidth="1"/>
    <col min="9204" max="9204" width="16.25" style="1" customWidth="1"/>
    <col min="9205" max="9205" width="10.58203125" style="1" customWidth="1"/>
    <col min="9206" max="9206" width="7.83203125" style="1" customWidth="1"/>
    <col min="9207" max="9207" width="10.58203125" style="1" customWidth="1"/>
    <col min="9208" max="9208" width="10.08203125" style="1" customWidth="1"/>
    <col min="9209" max="9209" width="11.25" style="1" customWidth="1"/>
    <col min="9210" max="9210" width="8.83203125" style="1" customWidth="1"/>
    <col min="9211" max="9211" width="16.75" style="1" bestFit="1" customWidth="1"/>
    <col min="9212" max="9212" width="9" style="1" customWidth="1"/>
    <col min="9213" max="9213" width="7.83203125" style="1" customWidth="1"/>
    <col min="9214" max="9214" width="8.33203125" style="1" customWidth="1"/>
    <col min="9215" max="9215" width="9.75" style="1" customWidth="1"/>
    <col min="9216" max="9458" width="8.6640625" style="1"/>
    <col min="9459" max="9459" width="12.25" style="1" customWidth="1"/>
    <col min="9460" max="9460" width="16.25" style="1" customWidth="1"/>
    <col min="9461" max="9461" width="10.58203125" style="1" customWidth="1"/>
    <col min="9462" max="9462" width="7.83203125" style="1" customWidth="1"/>
    <col min="9463" max="9463" width="10.58203125" style="1" customWidth="1"/>
    <col min="9464" max="9464" width="10.08203125" style="1" customWidth="1"/>
    <col min="9465" max="9465" width="11.25" style="1" customWidth="1"/>
    <col min="9466" max="9466" width="8.83203125" style="1" customWidth="1"/>
    <col min="9467" max="9467" width="16.75" style="1" bestFit="1" customWidth="1"/>
    <col min="9468" max="9468" width="9" style="1" customWidth="1"/>
    <col min="9469" max="9469" width="7.83203125" style="1" customWidth="1"/>
    <col min="9470" max="9470" width="8.33203125" style="1" customWidth="1"/>
    <col min="9471" max="9471" width="9.75" style="1" customWidth="1"/>
    <col min="9472" max="9714" width="8.6640625" style="1"/>
    <col min="9715" max="9715" width="12.25" style="1" customWidth="1"/>
    <col min="9716" max="9716" width="16.25" style="1" customWidth="1"/>
    <col min="9717" max="9717" width="10.58203125" style="1" customWidth="1"/>
    <col min="9718" max="9718" width="7.83203125" style="1" customWidth="1"/>
    <col min="9719" max="9719" width="10.58203125" style="1" customWidth="1"/>
    <col min="9720" max="9720" width="10.08203125" style="1" customWidth="1"/>
    <col min="9721" max="9721" width="11.25" style="1" customWidth="1"/>
    <col min="9722" max="9722" width="8.83203125" style="1" customWidth="1"/>
    <col min="9723" max="9723" width="16.75" style="1" bestFit="1" customWidth="1"/>
    <col min="9724" max="9724" width="9" style="1" customWidth="1"/>
    <col min="9725" max="9725" width="7.83203125" style="1" customWidth="1"/>
    <col min="9726" max="9726" width="8.33203125" style="1" customWidth="1"/>
    <col min="9727" max="9727" width="9.75" style="1" customWidth="1"/>
    <col min="9728" max="9970" width="8.6640625" style="1"/>
    <col min="9971" max="9971" width="12.25" style="1" customWidth="1"/>
    <col min="9972" max="9972" width="16.25" style="1" customWidth="1"/>
    <col min="9973" max="9973" width="10.58203125" style="1" customWidth="1"/>
    <col min="9974" max="9974" width="7.83203125" style="1" customWidth="1"/>
    <col min="9975" max="9975" width="10.58203125" style="1" customWidth="1"/>
    <col min="9976" max="9976" width="10.08203125" style="1" customWidth="1"/>
    <col min="9977" max="9977" width="11.25" style="1" customWidth="1"/>
    <col min="9978" max="9978" width="8.83203125" style="1" customWidth="1"/>
    <col min="9979" max="9979" width="16.75" style="1" bestFit="1" customWidth="1"/>
    <col min="9980" max="9980" width="9" style="1" customWidth="1"/>
    <col min="9981" max="9981" width="7.83203125" style="1" customWidth="1"/>
    <col min="9982" max="9982" width="8.33203125" style="1" customWidth="1"/>
    <col min="9983" max="9983" width="9.75" style="1" customWidth="1"/>
    <col min="9984" max="10226" width="8.6640625" style="1"/>
    <col min="10227" max="10227" width="12.25" style="1" customWidth="1"/>
    <col min="10228" max="10228" width="16.25" style="1" customWidth="1"/>
    <col min="10229" max="10229" width="10.58203125" style="1" customWidth="1"/>
    <col min="10230" max="10230" width="7.83203125" style="1" customWidth="1"/>
    <col min="10231" max="10231" width="10.58203125" style="1" customWidth="1"/>
    <col min="10232" max="10232" width="10.08203125" style="1" customWidth="1"/>
    <col min="10233" max="10233" width="11.25" style="1" customWidth="1"/>
    <col min="10234" max="10234" width="8.83203125" style="1" customWidth="1"/>
    <col min="10235" max="10235" width="16.75" style="1" bestFit="1" customWidth="1"/>
    <col min="10236" max="10236" width="9" style="1" customWidth="1"/>
    <col min="10237" max="10237" width="7.83203125" style="1" customWidth="1"/>
    <col min="10238" max="10238" width="8.33203125" style="1" customWidth="1"/>
    <col min="10239" max="10239" width="9.75" style="1" customWidth="1"/>
    <col min="10240" max="10482" width="8.6640625" style="1"/>
    <col min="10483" max="10483" width="12.25" style="1" customWidth="1"/>
    <col min="10484" max="10484" width="16.25" style="1" customWidth="1"/>
    <col min="10485" max="10485" width="10.58203125" style="1" customWidth="1"/>
    <col min="10486" max="10486" width="7.83203125" style="1" customWidth="1"/>
    <col min="10487" max="10487" width="10.58203125" style="1" customWidth="1"/>
    <col min="10488" max="10488" width="10.08203125" style="1" customWidth="1"/>
    <col min="10489" max="10489" width="11.25" style="1" customWidth="1"/>
    <col min="10490" max="10490" width="8.83203125" style="1" customWidth="1"/>
    <col min="10491" max="10491" width="16.75" style="1" bestFit="1" customWidth="1"/>
    <col min="10492" max="10492" width="9" style="1" customWidth="1"/>
    <col min="10493" max="10493" width="7.83203125" style="1" customWidth="1"/>
    <col min="10494" max="10494" width="8.33203125" style="1" customWidth="1"/>
    <col min="10495" max="10495" width="9.75" style="1" customWidth="1"/>
    <col min="10496" max="10738" width="8.6640625" style="1"/>
    <col min="10739" max="10739" width="12.25" style="1" customWidth="1"/>
    <col min="10740" max="10740" width="16.25" style="1" customWidth="1"/>
    <col min="10741" max="10741" width="10.58203125" style="1" customWidth="1"/>
    <col min="10742" max="10742" width="7.83203125" style="1" customWidth="1"/>
    <col min="10743" max="10743" width="10.58203125" style="1" customWidth="1"/>
    <col min="10744" max="10744" width="10.08203125" style="1" customWidth="1"/>
    <col min="10745" max="10745" width="11.25" style="1" customWidth="1"/>
    <col min="10746" max="10746" width="8.83203125" style="1" customWidth="1"/>
    <col min="10747" max="10747" width="16.75" style="1" bestFit="1" customWidth="1"/>
    <col min="10748" max="10748" width="9" style="1" customWidth="1"/>
    <col min="10749" max="10749" width="7.83203125" style="1" customWidth="1"/>
    <col min="10750" max="10750" width="8.33203125" style="1" customWidth="1"/>
    <col min="10751" max="10751" width="9.75" style="1" customWidth="1"/>
    <col min="10752" max="10994" width="8.6640625" style="1"/>
    <col min="10995" max="10995" width="12.25" style="1" customWidth="1"/>
    <col min="10996" max="10996" width="16.25" style="1" customWidth="1"/>
    <col min="10997" max="10997" width="10.58203125" style="1" customWidth="1"/>
    <col min="10998" max="10998" width="7.83203125" style="1" customWidth="1"/>
    <col min="10999" max="10999" width="10.58203125" style="1" customWidth="1"/>
    <col min="11000" max="11000" width="10.08203125" style="1" customWidth="1"/>
    <col min="11001" max="11001" width="11.25" style="1" customWidth="1"/>
    <col min="11002" max="11002" width="8.83203125" style="1" customWidth="1"/>
    <col min="11003" max="11003" width="16.75" style="1" bestFit="1" customWidth="1"/>
    <col min="11004" max="11004" width="9" style="1" customWidth="1"/>
    <col min="11005" max="11005" width="7.83203125" style="1" customWidth="1"/>
    <col min="11006" max="11006" width="8.33203125" style="1" customWidth="1"/>
    <col min="11007" max="11007" width="9.75" style="1" customWidth="1"/>
    <col min="11008" max="11250" width="8.6640625" style="1"/>
    <col min="11251" max="11251" width="12.25" style="1" customWidth="1"/>
    <col min="11252" max="11252" width="16.25" style="1" customWidth="1"/>
    <col min="11253" max="11253" width="10.58203125" style="1" customWidth="1"/>
    <col min="11254" max="11254" width="7.83203125" style="1" customWidth="1"/>
    <col min="11255" max="11255" width="10.58203125" style="1" customWidth="1"/>
    <col min="11256" max="11256" width="10.08203125" style="1" customWidth="1"/>
    <col min="11257" max="11257" width="11.25" style="1" customWidth="1"/>
    <col min="11258" max="11258" width="8.83203125" style="1" customWidth="1"/>
    <col min="11259" max="11259" width="16.75" style="1" bestFit="1" customWidth="1"/>
    <col min="11260" max="11260" width="9" style="1" customWidth="1"/>
    <col min="11261" max="11261" width="7.83203125" style="1" customWidth="1"/>
    <col min="11262" max="11262" width="8.33203125" style="1" customWidth="1"/>
    <col min="11263" max="11263" width="9.75" style="1" customWidth="1"/>
    <col min="11264" max="11506" width="8.6640625" style="1"/>
    <col min="11507" max="11507" width="12.25" style="1" customWidth="1"/>
    <col min="11508" max="11508" width="16.25" style="1" customWidth="1"/>
    <col min="11509" max="11509" width="10.58203125" style="1" customWidth="1"/>
    <col min="11510" max="11510" width="7.83203125" style="1" customWidth="1"/>
    <col min="11511" max="11511" width="10.58203125" style="1" customWidth="1"/>
    <col min="11512" max="11512" width="10.08203125" style="1" customWidth="1"/>
    <col min="11513" max="11513" width="11.25" style="1" customWidth="1"/>
    <col min="11514" max="11514" width="8.83203125" style="1" customWidth="1"/>
    <col min="11515" max="11515" width="16.75" style="1" bestFit="1" customWidth="1"/>
    <col min="11516" max="11516" width="9" style="1" customWidth="1"/>
    <col min="11517" max="11517" width="7.83203125" style="1" customWidth="1"/>
    <col min="11518" max="11518" width="8.33203125" style="1" customWidth="1"/>
    <col min="11519" max="11519" width="9.75" style="1" customWidth="1"/>
    <col min="11520" max="11762" width="8.6640625" style="1"/>
    <col min="11763" max="11763" width="12.25" style="1" customWidth="1"/>
    <col min="11764" max="11764" width="16.25" style="1" customWidth="1"/>
    <col min="11765" max="11765" width="10.58203125" style="1" customWidth="1"/>
    <col min="11766" max="11766" width="7.83203125" style="1" customWidth="1"/>
    <col min="11767" max="11767" width="10.58203125" style="1" customWidth="1"/>
    <col min="11768" max="11768" width="10.08203125" style="1" customWidth="1"/>
    <col min="11769" max="11769" width="11.25" style="1" customWidth="1"/>
    <col min="11770" max="11770" width="8.83203125" style="1" customWidth="1"/>
    <col min="11771" max="11771" width="16.75" style="1" bestFit="1" customWidth="1"/>
    <col min="11772" max="11772" width="9" style="1" customWidth="1"/>
    <col min="11773" max="11773" width="7.83203125" style="1" customWidth="1"/>
    <col min="11774" max="11774" width="8.33203125" style="1" customWidth="1"/>
    <col min="11775" max="11775" width="9.75" style="1" customWidth="1"/>
    <col min="11776" max="12018" width="8.6640625" style="1"/>
    <col min="12019" max="12019" width="12.25" style="1" customWidth="1"/>
    <col min="12020" max="12020" width="16.25" style="1" customWidth="1"/>
    <col min="12021" max="12021" width="10.58203125" style="1" customWidth="1"/>
    <col min="12022" max="12022" width="7.83203125" style="1" customWidth="1"/>
    <col min="12023" max="12023" width="10.58203125" style="1" customWidth="1"/>
    <col min="12024" max="12024" width="10.08203125" style="1" customWidth="1"/>
    <col min="12025" max="12025" width="11.25" style="1" customWidth="1"/>
    <col min="12026" max="12026" width="8.83203125" style="1" customWidth="1"/>
    <col min="12027" max="12027" width="16.75" style="1" bestFit="1" customWidth="1"/>
    <col min="12028" max="12028" width="9" style="1" customWidth="1"/>
    <col min="12029" max="12029" width="7.83203125" style="1" customWidth="1"/>
    <col min="12030" max="12030" width="8.33203125" style="1" customWidth="1"/>
    <col min="12031" max="12031" width="9.75" style="1" customWidth="1"/>
    <col min="12032" max="12274" width="8.6640625" style="1"/>
    <col min="12275" max="12275" width="12.25" style="1" customWidth="1"/>
    <col min="12276" max="12276" width="16.25" style="1" customWidth="1"/>
    <col min="12277" max="12277" width="10.58203125" style="1" customWidth="1"/>
    <col min="12278" max="12278" width="7.83203125" style="1" customWidth="1"/>
    <col min="12279" max="12279" width="10.58203125" style="1" customWidth="1"/>
    <col min="12280" max="12280" width="10.08203125" style="1" customWidth="1"/>
    <col min="12281" max="12281" width="11.25" style="1" customWidth="1"/>
    <col min="12282" max="12282" width="8.83203125" style="1" customWidth="1"/>
    <col min="12283" max="12283" width="16.75" style="1" bestFit="1" customWidth="1"/>
    <col min="12284" max="12284" width="9" style="1" customWidth="1"/>
    <col min="12285" max="12285" width="7.83203125" style="1" customWidth="1"/>
    <col min="12286" max="12286" width="8.33203125" style="1" customWidth="1"/>
    <col min="12287" max="12287" width="9.75" style="1" customWidth="1"/>
    <col min="12288" max="12530" width="8.6640625" style="1"/>
    <col min="12531" max="12531" width="12.25" style="1" customWidth="1"/>
    <col min="12532" max="12532" width="16.25" style="1" customWidth="1"/>
    <col min="12533" max="12533" width="10.58203125" style="1" customWidth="1"/>
    <col min="12534" max="12534" width="7.83203125" style="1" customWidth="1"/>
    <col min="12535" max="12535" width="10.58203125" style="1" customWidth="1"/>
    <col min="12536" max="12536" width="10.08203125" style="1" customWidth="1"/>
    <col min="12537" max="12537" width="11.25" style="1" customWidth="1"/>
    <col min="12538" max="12538" width="8.83203125" style="1" customWidth="1"/>
    <col min="12539" max="12539" width="16.75" style="1" bestFit="1" customWidth="1"/>
    <col min="12540" max="12540" width="9" style="1" customWidth="1"/>
    <col min="12541" max="12541" width="7.83203125" style="1" customWidth="1"/>
    <col min="12542" max="12542" width="8.33203125" style="1" customWidth="1"/>
    <col min="12543" max="12543" width="9.75" style="1" customWidth="1"/>
    <col min="12544" max="12786" width="8.6640625" style="1"/>
    <col min="12787" max="12787" width="12.25" style="1" customWidth="1"/>
    <col min="12788" max="12788" width="16.25" style="1" customWidth="1"/>
    <col min="12789" max="12789" width="10.58203125" style="1" customWidth="1"/>
    <col min="12790" max="12790" width="7.83203125" style="1" customWidth="1"/>
    <col min="12791" max="12791" width="10.58203125" style="1" customWidth="1"/>
    <col min="12792" max="12792" width="10.08203125" style="1" customWidth="1"/>
    <col min="12793" max="12793" width="11.25" style="1" customWidth="1"/>
    <col min="12794" max="12794" width="8.83203125" style="1" customWidth="1"/>
    <col min="12795" max="12795" width="16.75" style="1" bestFit="1" customWidth="1"/>
    <col min="12796" max="12796" width="9" style="1" customWidth="1"/>
    <col min="12797" max="12797" width="7.83203125" style="1" customWidth="1"/>
    <col min="12798" max="12798" width="8.33203125" style="1" customWidth="1"/>
    <col min="12799" max="12799" width="9.75" style="1" customWidth="1"/>
    <col min="12800" max="13042" width="8.6640625" style="1"/>
    <col min="13043" max="13043" width="12.25" style="1" customWidth="1"/>
    <col min="13044" max="13044" width="16.25" style="1" customWidth="1"/>
    <col min="13045" max="13045" width="10.58203125" style="1" customWidth="1"/>
    <col min="13046" max="13046" width="7.83203125" style="1" customWidth="1"/>
    <col min="13047" max="13047" width="10.58203125" style="1" customWidth="1"/>
    <col min="13048" max="13048" width="10.08203125" style="1" customWidth="1"/>
    <col min="13049" max="13049" width="11.25" style="1" customWidth="1"/>
    <col min="13050" max="13050" width="8.83203125" style="1" customWidth="1"/>
    <col min="13051" max="13051" width="16.75" style="1" bestFit="1" customWidth="1"/>
    <col min="13052" max="13052" width="9" style="1" customWidth="1"/>
    <col min="13053" max="13053" width="7.83203125" style="1" customWidth="1"/>
    <col min="13054" max="13054" width="8.33203125" style="1" customWidth="1"/>
    <col min="13055" max="13055" width="9.75" style="1" customWidth="1"/>
    <col min="13056" max="13298" width="8.6640625" style="1"/>
    <col min="13299" max="13299" width="12.25" style="1" customWidth="1"/>
    <col min="13300" max="13300" width="16.25" style="1" customWidth="1"/>
    <col min="13301" max="13301" width="10.58203125" style="1" customWidth="1"/>
    <col min="13302" max="13302" width="7.83203125" style="1" customWidth="1"/>
    <col min="13303" max="13303" width="10.58203125" style="1" customWidth="1"/>
    <col min="13304" max="13304" width="10.08203125" style="1" customWidth="1"/>
    <col min="13305" max="13305" width="11.25" style="1" customWidth="1"/>
    <col min="13306" max="13306" width="8.83203125" style="1" customWidth="1"/>
    <col min="13307" max="13307" width="16.75" style="1" bestFit="1" customWidth="1"/>
    <col min="13308" max="13308" width="9" style="1" customWidth="1"/>
    <col min="13309" max="13309" width="7.83203125" style="1" customWidth="1"/>
    <col min="13310" max="13310" width="8.33203125" style="1" customWidth="1"/>
    <col min="13311" max="13311" width="9.75" style="1" customWidth="1"/>
    <col min="13312" max="13554" width="8.6640625" style="1"/>
    <col min="13555" max="13555" width="12.25" style="1" customWidth="1"/>
    <col min="13556" max="13556" width="16.25" style="1" customWidth="1"/>
    <col min="13557" max="13557" width="10.58203125" style="1" customWidth="1"/>
    <col min="13558" max="13558" width="7.83203125" style="1" customWidth="1"/>
    <col min="13559" max="13559" width="10.58203125" style="1" customWidth="1"/>
    <col min="13560" max="13560" width="10.08203125" style="1" customWidth="1"/>
    <col min="13561" max="13561" width="11.25" style="1" customWidth="1"/>
    <col min="13562" max="13562" width="8.83203125" style="1" customWidth="1"/>
    <col min="13563" max="13563" width="16.75" style="1" bestFit="1" customWidth="1"/>
    <col min="13564" max="13564" width="9" style="1" customWidth="1"/>
    <col min="13565" max="13565" width="7.83203125" style="1" customWidth="1"/>
    <col min="13566" max="13566" width="8.33203125" style="1" customWidth="1"/>
    <col min="13567" max="13567" width="9.75" style="1" customWidth="1"/>
    <col min="13568" max="13810" width="8.6640625" style="1"/>
    <col min="13811" max="13811" width="12.25" style="1" customWidth="1"/>
    <col min="13812" max="13812" width="16.25" style="1" customWidth="1"/>
    <col min="13813" max="13813" width="10.58203125" style="1" customWidth="1"/>
    <col min="13814" max="13814" width="7.83203125" style="1" customWidth="1"/>
    <col min="13815" max="13815" width="10.58203125" style="1" customWidth="1"/>
    <col min="13816" max="13816" width="10.08203125" style="1" customWidth="1"/>
    <col min="13817" max="13817" width="11.25" style="1" customWidth="1"/>
    <col min="13818" max="13818" width="8.83203125" style="1" customWidth="1"/>
    <col min="13819" max="13819" width="16.75" style="1" bestFit="1" customWidth="1"/>
    <col min="13820" max="13820" width="9" style="1" customWidth="1"/>
    <col min="13821" max="13821" width="7.83203125" style="1" customWidth="1"/>
    <col min="13822" max="13822" width="8.33203125" style="1" customWidth="1"/>
    <col min="13823" max="13823" width="9.75" style="1" customWidth="1"/>
    <col min="13824" max="14066" width="8.6640625" style="1"/>
    <col min="14067" max="14067" width="12.25" style="1" customWidth="1"/>
    <col min="14068" max="14068" width="16.25" style="1" customWidth="1"/>
    <col min="14069" max="14069" width="10.58203125" style="1" customWidth="1"/>
    <col min="14070" max="14070" width="7.83203125" style="1" customWidth="1"/>
    <col min="14071" max="14071" width="10.58203125" style="1" customWidth="1"/>
    <col min="14072" max="14072" width="10.08203125" style="1" customWidth="1"/>
    <col min="14073" max="14073" width="11.25" style="1" customWidth="1"/>
    <col min="14074" max="14074" width="8.83203125" style="1" customWidth="1"/>
    <col min="14075" max="14075" width="16.75" style="1" bestFit="1" customWidth="1"/>
    <col min="14076" max="14076" width="9" style="1" customWidth="1"/>
    <col min="14077" max="14077" width="7.83203125" style="1" customWidth="1"/>
    <col min="14078" max="14078" width="8.33203125" style="1" customWidth="1"/>
    <col min="14079" max="14079" width="9.75" style="1" customWidth="1"/>
    <col min="14080" max="14322" width="8.6640625" style="1"/>
    <col min="14323" max="14323" width="12.25" style="1" customWidth="1"/>
    <col min="14324" max="14324" width="16.25" style="1" customWidth="1"/>
    <col min="14325" max="14325" width="10.58203125" style="1" customWidth="1"/>
    <col min="14326" max="14326" width="7.83203125" style="1" customWidth="1"/>
    <col min="14327" max="14327" width="10.58203125" style="1" customWidth="1"/>
    <col min="14328" max="14328" width="10.08203125" style="1" customWidth="1"/>
    <col min="14329" max="14329" width="11.25" style="1" customWidth="1"/>
    <col min="14330" max="14330" width="8.83203125" style="1" customWidth="1"/>
    <col min="14331" max="14331" width="16.75" style="1" bestFit="1" customWidth="1"/>
    <col min="14332" max="14332" width="9" style="1" customWidth="1"/>
    <col min="14333" max="14333" width="7.83203125" style="1" customWidth="1"/>
    <col min="14334" max="14334" width="8.33203125" style="1" customWidth="1"/>
    <col min="14335" max="14335" width="9.75" style="1" customWidth="1"/>
    <col min="14336" max="14578" width="8.6640625" style="1"/>
    <col min="14579" max="14579" width="12.25" style="1" customWidth="1"/>
    <col min="14580" max="14580" width="16.25" style="1" customWidth="1"/>
    <col min="14581" max="14581" width="10.58203125" style="1" customWidth="1"/>
    <col min="14582" max="14582" width="7.83203125" style="1" customWidth="1"/>
    <col min="14583" max="14583" width="10.58203125" style="1" customWidth="1"/>
    <col min="14584" max="14584" width="10.08203125" style="1" customWidth="1"/>
    <col min="14585" max="14585" width="11.25" style="1" customWidth="1"/>
    <col min="14586" max="14586" width="8.83203125" style="1" customWidth="1"/>
    <col min="14587" max="14587" width="16.75" style="1" bestFit="1" customWidth="1"/>
    <col min="14588" max="14588" width="9" style="1" customWidth="1"/>
    <col min="14589" max="14589" width="7.83203125" style="1" customWidth="1"/>
    <col min="14590" max="14590" width="8.33203125" style="1" customWidth="1"/>
    <col min="14591" max="14591" width="9.75" style="1" customWidth="1"/>
    <col min="14592" max="14834" width="8.6640625" style="1"/>
    <col min="14835" max="14835" width="12.25" style="1" customWidth="1"/>
    <col min="14836" max="14836" width="16.25" style="1" customWidth="1"/>
    <col min="14837" max="14837" width="10.58203125" style="1" customWidth="1"/>
    <col min="14838" max="14838" width="7.83203125" style="1" customWidth="1"/>
    <col min="14839" max="14839" width="10.58203125" style="1" customWidth="1"/>
    <col min="14840" max="14840" width="10.08203125" style="1" customWidth="1"/>
    <col min="14841" max="14841" width="11.25" style="1" customWidth="1"/>
    <col min="14842" max="14842" width="8.83203125" style="1" customWidth="1"/>
    <col min="14843" max="14843" width="16.75" style="1" bestFit="1" customWidth="1"/>
    <col min="14844" max="14844" width="9" style="1" customWidth="1"/>
    <col min="14845" max="14845" width="7.83203125" style="1" customWidth="1"/>
    <col min="14846" max="14846" width="8.33203125" style="1" customWidth="1"/>
    <col min="14847" max="14847" width="9.75" style="1" customWidth="1"/>
    <col min="14848" max="15090" width="8.6640625" style="1"/>
    <col min="15091" max="15091" width="12.25" style="1" customWidth="1"/>
    <col min="15092" max="15092" width="16.25" style="1" customWidth="1"/>
    <col min="15093" max="15093" width="10.58203125" style="1" customWidth="1"/>
    <col min="15094" max="15094" width="7.83203125" style="1" customWidth="1"/>
    <col min="15095" max="15095" width="10.58203125" style="1" customWidth="1"/>
    <col min="15096" max="15096" width="10.08203125" style="1" customWidth="1"/>
    <col min="15097" max="15097" width="11.25" style="1" customWidth="1"/>
    <col min="15098" max="15098" width="8.83203125" style="1" customWidth="1"/>
    <col min="15099" max="15099" width="16.75" style="1" bestFit="1" customWidth="1"/>
    <col min="15100" max="15100" width="9" style="1" customWidth="1"/>
    <col min="15101" max="15101" width="7.83203125" style="1" customWidth="1"/>
    <col min="15102" max="15102" width="8.33203125" style="1" customWidth="1"/>
    <col min="15103" max="15103" width="9.75" style="1" customWidth="1"/>
    <col min="15104" max="15346" width="8.6640625" style="1"/>
    <col min="15347" max="15347" width="12.25" style="1" customWidth="1"/>
    <col min="15348" max="15348" width="16.25" style="1" customWidth="1"/>
    <col min="15349" max="15349" width="10.58203125" style="1" customWidth="1"/>
    <col min="15350" max="15350" width="7.83203125" style="1" customWidth="1"/>
    <col min="15351" max="15351" width="10.58203125" style="1" customWidth="1"/>
    <col min="15352" max="15352" width="10.08203125" style="1" customWidth="1"/>
    <col min="15353" max="15353" width="11.25" style="1" customWidth="1"/>
    <col min="15354" max="15354" width="8.83203125" style="1" customWidth="1"/>
    <col min="15355" max="15355" width="16.75" style="1" bestFit="1" customWidth="1"/>
    <col min="15356" max="15356" width="9" style="1" customWidth="1"/>
    <col min="15357" max="15357" width="7.83203125" style="1" customWidth="1"/>
    <col min="15358" max="15358" width="8.33203125" style="1" customWidth="1"/>
    <col min="15359" max="15359" width="9.75" style="1" customWidth="1"/>
    <col min="15360" max="15602" width="8.6640625" style="1"/>
    <col min="15603" max="15603" width="12.25" style="1" customWidth="1"/>
    <col min="15604" max="15604" width="16.25" style="1" customWidth="1"/>
    <col min="15605" max="15605" width="10.58203125" style="1" customWidth="1"/>
    <col min="15606" max="15606" width="7.83203125" style="1" customWidth="1"/>
    <col min="15607" max="15607" width="10.58203125" style="1" customWidth="1"/>
    <col min="15608" max="15608" width="10.08203125" style="1" customWidth="1"/>
    <col min="15609" max="15609" width="11.25" style="1" customWidth="1"/>
    <col min="15610" max="15610" width="8.83203125" style="1" customWidth="1"/>
    <col min="15611" max="15611" width="16.75" style="1" bestFit="1" customWidth="1"/>
    <col min="15612" max="15612" width="9" style="1" customWidth="1"/>
    <col min="15613" max="15613" width="7.83203125" style="1" customWidth="1"/>
    <col min="15614" max="15614" width="8.33203125" style="1" customWidth="1"/>
    <col min="15615" max="15615" width="9.75" style="1" customWidth="1"/>
    <col min="15616" max="15858" width="8.6640625" style="1"/>
    <col min="15859" max="15859" width="12.25" style="1" customWidth="1"/>
    <col min="15860" max="15860" width="16.25" style="1" customWidth="1"/>
    <col min="15861" max="15861" width="10.58203125" style="1" customWidth="1"/>
    <col min="15862" max="15862" width="7.83203125" style="1" customWidth="1"/>
    <col min="15863" max="15863" width="10.58203125" style="1" customWidth="1"/>
    <col min="15864" max="15864" width="10.08203125" style="1" customWidth="1"/>
    <col min="15865" max="15865" width="11.25" style="1" customWidth="1"/>
    <col min="15866" max="15866" width="8.83203125" style="1" customWidth="1"/>
    <col min="15867" max="15867" width="16.75" style="1" bestFit="1" customWidth="1"/>
    <col min="15868" max="15868" width="9" style="1" customWidth="1"/>
    <col min="15869" max="15869" width="7.83203125" style="1" customWidth="1"/>
    <col min="15870" max="15870" width="8.33203125" style="1" customWidth="1"/>
    <col min="15871" max="15871" width="9.75" style="1" customWidth="1"/>
    <col min="15872" max="16114" width="8.6640625" style="1"/>
    <col min="16115" max="16115" width="12.25" style="1" customWidth="1"/>
    <col min="16116" max="16116" width="16.25" style="1" customWidth="1"/>
    <col min="16117" max="16117" width="10.58203125" style="1" customWidth="1"/>
    <col min="16118" max="16118" width="7.83203125" style="1" customWidth="1"/>
    <col min="16119" max="16119" width="10.58203125" style="1" customWidth="1"/>
    <col min="16120" max="16120" width="10.08203125" style="1" customWidth="1"/>
    <col min="16121" max="16121" width="11.25" style="1" customWidth="1"/>
    <col min="16122" max="16122" width="8.83203125" style="1" customWidth="1"/>
    <col min="16123" max="16123" width="16.75" style="1" bestFit="1" customWidth="1"/>
    <col min="16124" max="16124" width="9" style="1" customWidth="1"/>
    <col min="16125" max="16125" width="7.83203125" style="1" customWidth="1"/>
    <col min="16126" max="16126" width="8.33203125" style="1" customWidth="1"/>
    <col min="16127" max="16127" width="9.75" style="1" customWidth="1"/>
    <col min="16128" max="16384" width="8.6640625" style="1"/>
  </cols>
  <sheetData>
    <row r="1" spans="1:26" ht="10" customHeight="1" x14ac:dyDescent="0.45">
      <c r="C1" s="1"/>
      <c r="D1" s="2"/>
      <c r="E1" s="1"/>
      <c r="F1" s="2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ht="25" customHeight="1" x14ac:dyDescent="0.45">
      <c r="A2" s="58"/>
      <c r="C2" s="27"/>
      <c r="D2" s="2"/>
      <c r="E2" s="27"/>
      <c r="F2" s="2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spans="1:26" ht="24.75" customHeight="1" x14ac:dyDescent="0.45">
      <c r="A3" s="59" t="s">
        <v>92</v>
      </c>
      <c r="C3" s="1"/>
      <c r="D3" s="1"/>
      <c r="E3" s="1"/>
      <c r="F3" s="2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spans="1:26" ht="20.149999999999999" customHeight="1" x14ac:dyDescent="0.45">
      <c r="A4" s="60" t="s">
        <v>0</v>
      </c>
      <c r="C4" s="1"/>
      <c r="D4" s="2"/>
      <c r="E4" s="57"/>
      <c r="F4" s="2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spans="1:26" ht="12" customHeight="1" thickBot="1" x14ac:dyDescent="0.5">
      <c r="A5" s="61"/>
      <c r="C5" s="1"/>
      <c r="D5" s="2"/>
      <c r="E5" s="1"/>
      <c r="F5" s="2"/>
      <c r="K5" s="62" t="s">
        <v>1</v>
      </c>
      <c r="L5" s="62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82"/>
    </row>
    <row r="6" spans="1:26" s="7" customFormat="1" ht="18" customHeight="1" x14ac:dyDescent="0.45">
      <c r="A6" s="250" t="s">
        <v>2</v>
      </c>
      <c r="B6" s="248" t="s">
        <v>3</v>
      </c>
      <c r="C6" s="311" t="s">
        <v>74</v>
      </c>
      <c r="D6" s="255"/>
      <c r="E6" s="334" t="s">
        <v>75</v>
      </c>
      <c r="F6" s="257"/>
      <c r="G6" s="255" t="s">
        <v>4</v>
      </c>
      <c r="H6" s="257"/>
      <c r="I6" s="255" t="s">
        <v>5</v>
      </c>
      <c r="J6" s="253"/>
      <c r="K6" s="248" t="s">
        <v>6</v>
      </c>
      <c r="L6" s="87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82"/>
    </row>
    <row r="7" spans="1:26" s="7" customFormat="1" ht="18" customHeight="1" thickBot="1" x14ac:dyDescent="0.5">
      <c r="A7" s="251"/>
      <c r="B7" s="249"/>
      <c r="C7" s="35" t="s">
        <v>7</v>
      </c>
      <c r="D7" s="36" t="s">
        <v>8</v>
      </c>
      <c r="E7" s="37" t="s">
        <v>9</v>
      </c>
      <c r="F7" s="9" t="s">
        <v>93</v>
      </c>
      <c r="G7" s="8" t="s">
        <v>9</v>
      </c>
      <c r="H7" s="9" t="s">
        <v>10</v>
      </c>
      <c r="I7" s="8" t="s">
        <v>9</v>
      </c>
      <c r="J7" s="10" t="s">
        <v>10</v>
      </c>
      <c r="K7" s="249"/>
      <c r="L7" s="87"/>
      <c r="N7" s="213">
        <v>46023</v>
      </c>
      <c r="O7" s="213">
        <v>46054</v>
      </c>
      <c r="P7" s="213">
        <v>46082</v>
      </c>
      <c r="Q7" s="213">
        <v>46113</v>
      </c>
      <c r="R7" s="213">
        <v>46143</v>
      </c>
      <c r="S7" s="213">
        <v>46174</v>
      </c>
      <c r="T7" s="213">
        <v>46204</v>
      </c>
      <c r="U7" s="213">
        <v>46235</v>
      </c>
      <c r="V7" s="213">
        <v>46266</v>
      </c>
      <c r="W7" s="213">
        <v>46296</v>
      </c>
      <c r="X7" s="213">
        <v>46327</v>
      </c>
      <c r="Y7" s="213">
        <v>46357</v>
      </c>
      <c r="Z7" s="82"/>
    </row>
    <row r="8" spans="1:26" s="7" customFormat="1" ht="19" customHeight="1" x14ac:dyDescent="0.45">
      <c r="A8" s="300" t="s">
        <v>11</v>
      </c>
      <c r="B8" s="11" t="s">
        <v>12</v>
      </c>
      <c r="C8" s="94">
        <v>904594</v>
      </c>
      <c r="D8" s="329">
        <f>C8/C9</f>
        <v>0.25822302784636686</v>
      </c>
      <c r="E8" s="96">
        <v>251654</v>
      </c>
      <c r="F8" s="331">
        <f>E8/E9</f>
        <v>0.18709958982236044</v>
      </c>
      <c r="G8" s="171">
        <f>$C$8+$E$8</f>
        <v>1156248</v>
      </c>
      <c r="H8" s="333">
        <f>G8/G9</f>
        <v>0.23849129270651628</v>
      </c>
      <c r="I8" s="40">
        <f>SUBTOTAL(109,$N$8:$Y$8)</f>
        <v>2948182</v>
      </c>
      <c r="J8" s="303">
        <f>I8/I9</f>
        <v>0.23882398276620323</v>
      </c>
      <c r="K8" s="305"/>
      <c r="L8" s="88"/>
      <c r="N8" s="145">
        <v>923950</v>
      </c>
      <c r="O8" s="145">
        <v>867984</v>
      </c>
      <c r="P8" s="145">
        <v>1156248</v>
      </c>
      <c r="Q8" s="145"/>
      <c r="R8" s="145"/>
      <c r="S8" s="145"/>
      <c r="T8" s="145"/>
      <c r="U8" s="145"/>
      <c r="V8" s="145"/>
      <c r="W8" s="145"/>
      <c r="X8" s="145"/>
      <c r="Y8" s="145"/>
    </row>
    <row r="9" spans="1:26" s="7" customFormat="1" ht="19" customHeight="1" x14ac:dyDescent="0.45">
      <c r="A9" s="235"/>
      <c r="B9" s="15" t="s">
        <v>13</v>
      </c>
      <c r="C9" s="95">
        <v>3503150</v>
      </c>
      <c r="D9" s="330"/>
      <c r="E9" s="97">
        <v>1345027</v>
      </c>
      <c r="F9" s="332"/>
      <c r="G9" s="56">
        <f>$C$9+$E$9</f>
        <v>4848177</v>
      </c>
      <c r="H9" s="321"/>
      <c r="I9" s="44">
        <f>SUBTOTAL(109,$N$9:$Y$9)</f>
        <v>12344581</v>
      </c>
      <c r="J9" s="304"/>
      <c r="K9" s="284"/>
      <c r="L9" s="88"/>
      <c r="N9" s="145">
        <v>3925072</v>
      </c>
      <c r="O9" s="145">
        <v>3571332</v>
      </c>
      <c r="P9" s="145">
        <v>4848177</v>
      </c>
      <c r="Q9" s="145"/>
      <c r="R9" s="145"/>
      <c r="S9" s="145"/>
      <c r="T9" s="145"/>
      <c r="U9" s="145"/>
      <c r="V9" s="145"/>
      <c r="W9" s="145"/>
      <c r="X9" s="145"/>
      <c r="Y9" s="145"/>
    </row>
    <row r="10" spans="1:26" s="7" customFormat="1" ht="19" customHeight="1" x14ac:dyDescent="0.45">
      <c r="A10" s="220" t="s">
        <v>46</v>
      </c>
      <c r="B10" s="11" t="s">
        <v>12</v>
      </c>
      <c r="C10" s="55">
        <f>$C$8</f>
        <v>904594</v>
      </c>
      <c r="D10" s="279">
        <f>C10/C11</f>
        <v>16228.724944604908</v>
      </c>
      <c r="E10" s="46">
        <f>$E$8</f>
        <v>251654</v>
      </c>
      <c r="F10" s="271">
        <f>E10/E11</f>
        <v>5440.0266537753823</v>
      </c>
      <c r="G10" s="18">
        <f>$G$8</f>
        <v>1156248</v>
      </c>
      <c r="H10" s="271">
        <f>G10/G11</f>
        <v>11335.764705882353</v>
      </c>
      <c r="I10" s="18">
        <f>$I$8</f>
        <v>2948182</v>
      </c>
      <c r="J10" s="323">
        <f>I10/I11</f>
        <v>9572.0194805194806</v>
      </c>
      <c r="K10" s="228"/>
      <c r="L10" s="89"/>
      <c r="N10" s="213">
        <f>N$7</f>
        <v>46023</v>
      </c>
      <c r="O10" s="213">
        <f t="shared" ref="O10:Y10" si="0">O$7</f>
        <v>46054</v>
      </c>
      <c r="P10" s="213">
        <f t="shared" si="0"/>
        <v>46082</v>
      </c>
      <c r="Q10" s="213">
        <f t="shared" si="0"/>
        <v>46113</v>
      </c>
      <c r="R10" s="213">
        <f t="shared" si="0"/>
        <v>46143</v>
      </c>
      <c r="S10" s="213">
        <f t="shared" si="0"/>
        <v>46174</v>
      </c>
      <c r="T10" s="213">
        <f t="shared" si="0"/>
        <v>46204</v>
      </c>
      <c r="U10" s="213">
        <f t="shared" si="0"/>
        <v>46235</v>
      </c>
      <c r="V10" s="213">
        <f t="shared" si="0"/>
        <v>46266</v>
      </c>
      <c r="W10" s="213">
        <f t="shared" si="0"/>
        <v>46296</v>
      </c>
      <c r="X10" s="213">
        <f t="shared" si="0"/>
        <v>46327</v>
      </c>
      <c r="Y10" s="213">
        <f t="shared" si="0"/>
        <v>46357</v>
      </c>
      <c r="Z10" s="82"/>
    </row>
    <row r="11" spans="1:26" s="7" customFormat="1" ht="19" customHeight="1" x14ac:dyDescent="0.45">
      <c r="A11" s="235"/>
      <c r="B11" s="15" t="s">
        <v>14</v>
      </c>
      <c r="C11" s="56">
        <f>'노무비(인원,근무시간 등(25_01)'!$C$6</f>
        <v>55.740300183023564</v>
      </c>
      <c r="D11" s="280"/>
      <c r="E11" s="47">
        <f>'노무비(인원,근무시간 등(25_01)'!$D$6</f>
        <v>46.259699816976436</v>
      </c>
      <c r="F11" s="278"/>
      <c r="G11" s="170">
        <f>$C$11+$E$11</f>
        <v>102</v>
      </c>
      <c r="H11" s="278"/>
      <c r="I11" s="16">
        <f>SUBTOTAL(109,$N$11:$Y$11)</f>
        <v>308</v>
      </c>
      <c r="J11" s="324"/>
      <c r="K11" s="231"/>
      <c r="L11" s="89"/>
      <c r="N11" s="83">
        <v>103</v>
      </c>
      <c r="O11" s="83">
        <v>103</v>
      </c>
      <c r="P11" s="83">
        <v>102</v>
      </c>
      <c r="Q11" s="83"/>
      <c r="R11" s="83"/>
      <c r="S11" s="145"/>
      <c r="T11" s="145"/>
      <c r="U11" s="145"/>
      <c r="V11" s="145"/>
      <c r="W11" s="145"/>
      <c r="X11" s="145"/>
      <c r="Y11" s="145"/>
    </row>
    <row r="12" spans="1:26" s="7" customFormat="1" ht="19" customHeight="1" x14ac:dyDescent="0.45">
      <c r="A12" s="274" t="s">
        <v>15</v>
      </c>
      <c r="B12" s="11" t="s">
        <v>16</v>
      </c>
      <c r="C12" s="99">
        <v>228065</v>
      </c>
      <c r="D12" s="325">
        <f>C12/C13</f>
        <v>0.25211863001523338</v>
      </c>
      <c r="E12" s="99">
        <v>132456</v>
      </c>
      <c r="F12" s="294">
        <f>E12/E13</f>
        <v>0.52634172315957628</v>
      </c>
      <c r="G12" s="55">
        <f>$C$12+$E$12</f>
        <v>360521</v>
      </c>
      <c r="H12" s="320">
        <f>G12/G13</f>
        <v>0.31180248527997456</v>
      </c>
      <c r="I12" s="170">
        <f>SUBTOTAL(109,$N$12:$Y$12)</f>
        <v>1099396</v>
      </c>
      <c r="J12" s="322">
        <f>I12/I13</f>
        <v>0.37290642165239457</v>
      </c>
      <c r="K12" s="317"/>
      <c r="L12" s="148"/>
      <c r="N12" s="145">
        <v>371215</v>
      </c>
      <c r="O12" s="100">
        <v>367660</v>
      </c>
      <c r="P12" s="100">
        <v>360521</v>
      </c>
      <c r="Q12" s="100"/>
      <c r="R12" s="100"/>
      <c r="S12" s="100"/>
      <c r="T12" s="100"/>
      <c r="U12" s="100"/>
      <c r="V12" s="100"/>
      <c r="W12" s="100"/>
      <c r="X12" s="100"/>
      <c r="Y12" s="100"/>
      <c r="Z12" s="82"/>
    </row>
    <row r="13" spans="1:26" s="7" customFormat="1" ht="19" customHeight="1" x14ac:dyDescent="0.45">
      <c r="A13" s="275"/>
      <c r="B13" s="15" t="s">
        <v>17</v>
      </c>
      <c r="C13" s="56">
        <f>$C$8</f>
        <v>904594</v>
      </c>
      <c r="D13" s="326"/>
      <c r="E13" s="47">
        <f>$E$8</f>
        <v>251654</v>
      </c>
      <c r="F13" s="295"/>
      <c r="G13" s="16">
        <f>$G$8</f>
        <v>1156248</v>
      </c>
      <c r="H13" s="321"/>
      <c r="I13" s="17">
        <f>$I$8</f>
        <v>2948182</v>
      </c>
      <c r="J13" s="304"/>
      <c r="K13" s="318"/>
      <c r="L13" s="148"/>
      <c r="N13" s="213">
        <f>N$7</f>
        <v>46023</v>
      </c>
      <c r="O13" s="213">
        <f t="shared" ref="O13:Y13" si="1">O$7</f>
        <v>46054</v>
      </c>
      <c r="P13" s="213">
        <f t="shared" si="1"/>
        <v>46082</v>
      </c>
      <c r="Q13" s="213">
        <f t="shared" si="1"/>
        <v>46113</v>
      </c>
      <c r="R13" s="213">
        <f t="shared" si="1"/>
        <v>46143</v>
      </c>
      <c r="S13" s="213">
        <f t="shared" si="1"/>
        <v>46174</v>
      </c>
      <c r="T13" s="213">
        <f t="shared" si="1"/>
        <v>46204</v>
      </c>
      <c r="U13" s="213">
        <f t="shared" si="1"/>
        <v>46235</v>
      </c>
      <c r="V13" s="213">
        <f t="shared" si="1"/>
        <v>46266</v>
      </c>
      <c r="W13" s="213">
        <f t="shared" si="1"/>
        <v>46296</v>
      </c>
      <c r="X13" s="213">
        <f t="shared" si="1"/>
        <v>46327</v>
      </c>
      <c r="Y13" s="213">
        <f t="shared" si="1"/>
        <v>46357</v>
      </c>
    </row>
    <row r="14" spans="1:26" s="7" customFormat="1" ht="19" customHeight="1" x14ac:dyDescent="0.45">
      <c r="A14" s="275"/>
      <c r="B14" s="11" t="s">
        <v>18</v>
      </c>
      <c r="C14" s="99">
        <v>49318</v>
      </c>
      <c r="D14" s="325">
        <f>C14/C15</f>
        <v>5.4519486089892259E-2</v>
      </c>
      <c r="E14" s="99">
        <v>12700</v>
      </c>
      <c r="F14" s="294">
        <f>E14/E15</f>
        <v>5.0466116175383664E-2</v>
      </c>
      <c r="G14" s="55">
        <f>$C$14+$E$14</f>
        <v>62018</v>
      </c>
      <c r="H14" s="320">
        <f>G14/G15</f>
        <v>5.3637281967190427E-2</v>
      </c>
      <c r="I14" s="18">
        <f>SUBTOTAL(109,$N$14:$Y$14)</f>
        <v>165585</v>
      </c>
      <c r="J14" s="322">
        <f>I14/I15</f>
        <v>5.616512142059072E-2</v>
      </c>
      <c r="K14" s="317"/>
      <c r="L14" s="148"/>
      <c r="N14" s="145">
        <v>48058</v>
      </c>
      <c r="O14" s="145">
        <v>55509</v>
      </c>
      <c r="P14" s="145">
        <v>62018</v>
      </c>
      <c r="Q14" s="145"/>
      <c r="R14" s="145"/>
      <c r="S14" s="145"/>
      <c r="T14" s="145"/>
      <c r="U14" s="145"/>
      <c r="V14" s="145"/>
      <c r="W14" s="145"/>
      <c r="X14" s="145"/>
      <c r="Y14" s="145"/>
      <c r="Z14" s="82"/>
    </row>
    <row r="15" spans="1:26" s="7" customFormat="1" ht="19" customHeight="1" x14ac:dyDescent="0.45">
      <c r="A15" s="275"/>
      <c r="B15" s="15" t="s">
        <v>17</v>
      </c>
      <c r="C15" s="56">
        <f>$C$8</f>
        <v>904594</v>
      </c>
      <c r="D15" s="326"/>
      <c r="E15" s="47">
        <f>$E$8</f>
        <v>251654</v>
      </c>
      <c r="F15" s="295"/>
      <c r="G15" s="16">
        <f>$G$8</f>
        <v>1156248</v>
      </c>
      <c r="H15" s="321"/>
      <c r="I15" s="16">
        <f>$I$8</f>
        <v>2948182</v>
      </c>
      <c r="J15" s="304"/>
      <c r="K15" s="318"/>
      <c r="L15" s="148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</row>
    <row r="16" spans="1:26" s="7" customFormat="1" ht="19" customHeight="1" x14ac:dyDescent="0.45">
      <c r="A16" s="275"/>
      <c r="B16" s="21" t="s">
        <v>19</v>
      </c>
      <c r="C16" s="19">
        <f>$C$14+$C$12</f>
        <v>277383</v>
      </c>
      <c r="D16" s="285">
        <f>C16/C17</f>
        <v>0.30663811610512559</v>
      </c>
      <c r="E16" s="48">
        <f>$E$14+$E$12</f>
        <v>145156</v>
      </c>
      <c r="F16" s="287">
        <f>E16/E17</f>
        <v>0.57680783933495994</v>
      </c>
      <c r="G16" s="20">
        <f>$G$14+$G$12</f>
        <v>422539</v>
      </c>
      <c r="H16" s="327">
        <f>G16/G17</f>
        <v>0.36543976724716498</v>
      </c>
      <c r="I16" s="18">
        <f>$I$14+$I$12</f>
        <v>1264981</v>
      </c>
      <c r="J16" s="322">
        <f>I16/I17</f>
        <v>0.42907154307298534</v>
      </c>
      <c r="K16" s="317"/>
      <c r="L16" s="148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82"/>
    </row>
    <row r="17" spans="1:26" s="7" customFormat="1" ht="19" customHeight="1" x14ac:dyDescent="0.45">
      <c r="A17" s="291"/>
      <c r="B17" s="22" t="s">
        <v>17</v>
      </c>
      <c r="C17" s="17">
        <f>$C$8</f>
        <v>904594</v>
      </c>
      <c r="D17" s="286"/>
      <c r="E17" s="49">
        <f>$E$8</f>
        <v>251654</v>
      </c>
      <c r="F17" s="288"/>
      <c r="G17" s="16">
        <f>$G$8</f>
        <v>1156248</v>
      </c>
      <c r="H17" s="328"/>
      <c r="I17" s="16">
        <f>$I$8</f>
        <v>2948182</v>
      </c>
      <c r="J17" s="304"/>
      <c r="K17" s="318"/>
      <c r="L17" s="148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82"/>
    </row>
    <row r="18" spans="1:26" s="7" customFormat="1" ht="19" customHeight="1" x14ac:dyDescent="0.45">
      <c r="A18" s="274" t="s">
        <v>20</v>
      </c>
      <c r="B18" s="11" t="s">
        <v>21</v>
      </c>
      <c r="C18" s="19">
        <f>$C$12</f>
        <v>228065</v>
      </c>
      <c r="D18" s="292">
        <f>C18/C19</f>
        <v>6.5102836019011456E-2</v>
      </c>
      <c r="E18" s="48">
        <f>$E$12</f>
        <v>132456</v>
      </c>
      <c r="F18" s="294">
        <f>E18/E19</f>
        <v>9.8478320509551104E-2</v>
      </c>
      <c r="G18" s="18">
        <f>$G$12</f>
        <v>360521</v>
      </c>
      <c r="H18" s="320">
        <f>G18/G19</f>
        <v>7.4362177783525649E-2</v>
      </c>
      <c r="I18" s="18">
        <f>$I$12</f>
        <v>1099396</v>
      </c>
      <c r="J18" s="322">
        <f>I18/I19</f>
        <v>8.9058996818118005E-2</v>
      </c>
      <c r="K18" s="317"/>
      <c r="L18" s="148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82"/>
    </row>
    <row r="19" spans="1:26" s="7" customFormat="1" ht="19" customHeight="1" x14ac:dyDescent="0.45">
      <c r="A19" s="275"/>
      <c r="B19" s="15" t="s">
        <v>22</v>
      </c>
      <c r="C19" s="17">
        <f>$C$9</f>
        <v>3503150</v>
      </c>
      <c r="D19" s="293"/>
      <c r="E19" s="49">
        <f>$E$9</f>
        <v>1345027</v>
      </c>
      <c r="F19" s="295"/>
      <c r="G19" s="16">
        <f>$G$9</f>
        <v>4848177</v>
      </c>
      <c r="H19" s="321"/>
      <c r="I19" s="16">
        <f>$I$9</f>
        <v>12344581</v>
      </c>
      <c r="J19" s="304"/>
      <c r="K19" s="318"/>
      <c r="L19" s="148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82"/>
    </row>
    <row r="20" spans="1:26" s="7" customFormat="1" ht="19" customHeight="1" x14ac:dyDescent="0.45">
      <c r="A20" s="275"/>
      <c r="B20" s="11" t="s">
        <v>18</v>
      </c>
      <c r="C20" s="19">
        <f>$C$14</f>
        <v>49318</v>
      </c>
      <c r="D20" s="292">
        <f>C20/C21</f>
        <v>1.4078186774759858E-2</v>
      </c>
      <c r="E20" s="48">
        <f>$E$14</f>
        <v>12700</v>
      </c>
      <c r="F20" s="294">
        <f>E20/E21</f>
        <v>9.4421896363418734E-3</v>
      </c>
      <c r="G20" s="18">
        <f>$G$14</f>
        <v>62018</v>
      </c>
      <c r="H20" s="320">
        <f>G20/G21</f>
        <v>1.2792024713619161E-2</v>
      </c>
      <c r="I20" s="18">
        <f>$I$14</f>
        <v>165585</v>
      </c>
      <c r="J20" s="322">
        <f>I20/I21</f>
        <v>1.3413577990212871E-2</v>
      </c>
      <c r="K20" s="317"/>
      <c r="L20" s="148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82"/>
    </row>
    <row r="21" spans="1:26" s="7" customFormat="1" ht="19" customHeight="1" x14ac:dyDescent="0.45">
      <c r="A21" s="275"/>
      <c r="B21" s="15" t="s">
        <v>22</v>
      </c>
      <c r="C21" s="17">
        <f>$C$9</f>
        <v>3503150</v>
      </c>
      <c r="D21" s="293"/>
      <c r="E21" s="49">
        <f>$E$9</f>
        <v>1345027</v>
      </c>
      <c r="F21" s="295"/>
      <c r="G21" s="16">
        <f>$G$9</f>
        <v>4848177</v>
      </c>
      <c r="H21" s="321"/>
      <c r="I21" s="16">
        <f>$I$9</f>
        <v>12344581</v>
      </c>
      <c r="J21" s="304"/>
      <c r="K21" s="318"/>
      <c r="L21" s="148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82"/>
    </row>
    <row r="22" spans="1:26" s="7" customFormat="1" ht="19" customHeight="1" x14ac:dyDescent="0.45">
      <c r="A22" s="275"/>
      <c r="B22" s="21" t="s">
        <v>19</v>
      </c>
      <c r="C22" s="19">
        <f>$C$20+$C$18</f>
        <v>277383</v>
      </c>
      <c r="D22" s="285">
        <f>C22/C23</f>
        <v>7.9181022793771316E-2</v>
      </c>
      <c r="E22" s="48">
        <f>$E$20+$E$18</f>
        <v>145156</v>
      </c>
      <c r="F22" s="287">
        <f>E22/E23</f>
        <v>0.10792051014589298</v>
      </c>
      <c r="G22" s="18">
        <f>$G$20+$G$18</f>
        <v>422539</v>
      </c>
      <c r="H22" s="287">
        <f>G22/G23</f>
        <v>8.7154202497144798E-2</v>
      </c>
      <c r="I22" s="18">
        <f>$I$20+$I$18</f>
        <v>1264981</v>
      </c>
      <c r="J22" s="315">
        <f>I22/I23</f>
        <v>0.10247257480833087</v>
      </c>
      <c r="K22" s="317"/>
      <c r="L22" s="148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82"/>
    </row>
    <row r="23" spans="1:26" s="7" customFormat="1" ht="19" customHeight="1" x14ac:dyDescent="0.45">
      <c r="A23" s="291"/>
      <c r="B23" s="22" t="s">
        <v>22</v>
      </c>
      <c r="C23" s="17">
        <f>$C$9</f>
        <v>3503150</v>
      </c>
      <c r="D23" s="286"/>
      <c r="E23" s="49">
        <f>$E$9</f>
        <v>1345027</v>
      </c>
      <c r="F23" s="288"/>
      <c r="G23" s="16">
        <f>$G$9</f>
        <v>4848177</v>
      </c>
      <c r="H23" s="288"/>
      <c r="I23" s="63">
        <f>$I$9</f>
        <v>12344581</v>
      </c>
      <c r="J23" s="316"/>
      <c r="K23" s="318"/>
      <c r="L23" s="148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82"/>
    </row>
    <row r="24" spans="1:26" s="7" customFormat="1" ht="19" customHeight="1" x14ac:dyDescent="0.45">
      <c r="A24" s="274" t="s">
        <v>23</v>
      </c>
      <c r="B24" s="11" t="s">
        <v>24</v>
      </c>
      <c r="C24" s="19">
        <f>$C$12</f>
        <v>228065</v>
      </c>
      <c r="D24" s="269">
        <f>C24/C25</f>
        <v>4091.5638999278331</v>
      </c>
      <c r="E24" s="48">
        <f>$E$12</f>
        <v>132456</v>
      </c>
      <c r="F24" s="271">
        <f>E24/E25</f>
        <v>2863.3130029821582</v>
      </c>
      <c r="G24" s="18">
        <f>$G$12</f>
        <v>360521</v>
      </c>
      <c r="H24" s="226">
        <f>G24/G25</f>
        <v>3534.5196078431372</v>
      </c>
      <c r="I24" s="18">
        <f>$I$12</f>
        <v>1099396</v>
      </c>
      <c r="J24" s="222">
        <f>I24/I25</f>
        <v>3569.4675324675327</v>
      </c>
      <c r="K24" s="309"/>
      <c r="L24" s="149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82"/>
    </row>
    <row r="25" spans="1:26" s="7" customFormat="1" ht="19" customHeight="1" x14ac:dyDescent="0.45">
      <c r="A25" s="275"/>
      <c r="B25" s="15" t="s">
        <v>14</v>
      </c>
      <c r="C25" s="17">
        <f>$C$11</f>
        <v>55.740300183023564</v>
      </c>
      <c r="D25" s="277"/>
      <c r="E25" s="49">
        <f>$E$11</f>
        <v>46.259699816976436</v>
      </c>
      <c r="F25" s="278"/>
      <c r="G25" s="16">
        <f>$G$11</f>
        <v>102</v>
      </c>
      <c r="H25" s="233"/>
      <c r="I25" s="16">
        <f>$I$11</f>
        <v>308</v>
      </c>
      <c r="J25" s="232"/>
      <c r="K25" s="310"/>
      <c r="L25" s="149"/>
      <c r="N25" s="213">
        <f>N$7</f>
        <v>46023</v>
      </c>
      <c r="O25" s="213">
        <f t="shared" ref="O25:Y25" si="2">O$7</f>
        <v>46054</v>
      </c>
      <c r="P25" s="213">
        <f t="shared" si="2"/>
        <v>46082</v>
      </c>
      <c r="Q25" s="213">
        <f t="shared" si="2"/>
        <v>46113</v>
      </c>
      <c r="R25" s="213">
        <f t="shared" si="2"/>
        <v>46143</v>
      </c>
      <c r="S25" s="213">
        <f t="shared" si="2"/>
        <v>46174</v>
      </c>
      <c r="T25" s="213">
        <f t="shared" si="2"/>
        <v>46204</v>
      </c>
      <c r="U25" s="213">
        <f t="shared" si="2"/>
        <v>46235</v>
      </c>
      <c r="V25" s="213">
        <f t="shared" si="2"/>
        <v>46266</v>
      </c>
      <c r="W25" s="213">
        <f t="shared" si="2"/>
        <v>46296</v>
      </c>
      <c r="X25" s="213">
        <f t="shared" si="2"/>
        <v>46327</v>
      </c>
      <c r="Y25" s="213">
        <f t="shared" si="2"/>
        <v>46357</v>
      </c>
      <c r="Z25" s="82"/>
    </row>
    <row r="26" spans="1:26" s="7" customFormat="1" ht="19" customHeight="1" x14ac:dyDescent="0.45">
      <c r="A26" s="275"/>
      <c r="B26" s="11" t="s">
        <v>25</v>
      </c>
      <c r="C26" s="99">
        <v>21456</v>
      </c>
      <c r="D26" s="269">
        <f>C26/C27</f>
        <v>384.92795929604097</v>
      </c>
      <c r="E26" s="99">
        <v>10340</v>
      </c>
      <c r="F26" s="271">
        <f>E26/E27</f>
        <v>223.52068951829676</v>
      </c>
      <c r="G26" s="55">
        <f>$C$26+$E$26</f>
        <v>31796</v>
      </c>
      <c r="H26" s="226">
        <f>G26/G27</f>
        <v>311.72549019607845</v>
      </c>
      <c r="I26" s="18">
        <f>SUBTOTAL(109,$N$26:$Y$26)</f>
        <v>91136</v>
      </c>
      <c r="J26" s="222">
        <f>I26/I27</f>
        <v>295.89610389610391</v>
      </c>
      <c r="K26" s="309"/>
      <c r="L26" s="149"/>
      <c r="N26" s="145">
        <v>30116</v>
      </c>
      <c r="O26" s="145">
        <v>29224</v>
      </c>
      <c r="P26" s="145">
        <v>31796</v>
      </c>
      <c r="Q26" s="145"/>
      <c r="R26" s="145"/>
      <c r="S26" s="145"/>
      <c r="T26" s="145"/>
      <c r="U26" s="145"/>
      <c r="V26" s="145"/>
      <c r="W26" s="145"/>
      <c r="X26" s="145"/>
      <c r="Y26" s="145"/>
      <c r="Z26" s="82"/>
    </row>
    <row r="27" spans="1:26" s="7" customFormat="1" ht="19" customHeight="1" x14ac:dyDescent="0.45">
      <c r="A27" s="275"/>
      <c r="B27" s="15" t="s">
        <v>26</v>
      </c>
      <c r="C27" s="17">
        <f>$C$11</f>
        <v>55.740300183023564</v>
      </c>
      <c r="D27" s="277"/>
      <c r="E27" s="49">
        <f>$E$11</f>
        <v>46.259699816976436</v>
      </c>
      <c r="F27" s="278"/>
      <c r="G27" s="16">
        <f>$G$11</f>
        <v>102</v>
      </c>
      <c r="H27" s="233"/>
      <c r="I27" s="16">
        <f>$I$11</f>
        <v>308</v>
      </c>
      <c r="J27" s="232"/>
      <c r="K27" s="310"/>
      <c r="L27" s="149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</row>
    <row r="28" spans="1:26" s="7" customFormat="1" ht="19" customHeight="1" x14ac:dyDescent="0.45">
      <c r="A28" s="275"/>
      <c r="B28" s="11" t="s">
        <v>27</v>
      </c>
      <c r="C28" s="19">
        <f>$C$26+$C$24</f>
        <v>249521</v>
      </c>
      <c r="D28" s="269">
        <f>C28/C29</f>
        <v>4476.4918592238737</v>
      </c>
      <c r="E28" s="48">
        <f>$E$26+$E$24</f>
        <v>142796</v>
      </c>
      <c r="F28" s="271">
        <f>E28/E29</f>
        <v>3086.8336925004551</v>
      </c>
      <c r="G28" s="18">
        <f>$G$24+$G$26</f>
        <v>392317</v>
      </c>
      <c r="H28" s="271">
        <f>G28/G29</f>
        <v>3846.2450980392155</v>
      </c>
      <c r="I28" s="18">
        <f>$I$26+$I$24</f>
        <v>1190532</v>
      </c>
      <c r="J28" s="224">
        <f>I28/I29</f>
        <v>3865.3636363636365</v>
      </c>
      <c r="K28" s="309"/>
      <c r="L28" s="149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82"/>
    </row>
    <row r="29" spans="1:26" s="7" customFormat="1" ht="19" customHeight="1" thickBot="1" x14ac:dyDescent="0.5">
      <c r="A29" s="276"/>
      <c r="B29" s="23" t="s">
        <v>28</v>
      </c>
      <c r="C29" s="25">
        <f>$C$11</f>
        <v>55.740300183023564</v>
      </c>
      <c r="D29" s="270"/>
      <c r="E29" s="50">
        <f>$E$11</f>
        <v>46.259699816976436</v>
      </c>
      <c r="F29" s="272"/>
      <c r="G29" s="24">
        <f>$G$11</f>
        <v>102</v>
      </c>
      <c r="H29" s="272"/>
      <c r="I29" s="24">
        <f>$I$11</f>
        <v>308</v>
      </c>
      <c r="J29" s="225"/>
      <c r="K29" s="314"/>
      <c r="L29" s="149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82"/>
    </row>
    <row r="30" spans="1:26" s="26" customFormat="1" ht="12" customHeight="1" thickBot="1" x14ac:dyDescent="0.5">
      <c r="C30" s="27"/>
      <c r="D30" s="28"/>
      <c r="E30" s="27"/>
      <c r="F30" s="28"/>
      <c r="H30" s="29"/>
      <c r="J30" s="29"/>
      <c r="N30" s="145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s="26" customFormat="1" ht="18.75" customHeight="1" thickBot="1" x14ac:dyDescent="0.5">
      <c r="A31" s="64" t="s">
        <v>2</v>
      </c>
      <c r="B31" s="30" t="s">
        <v>3</v>
      </c>
      <c r="C31" s="258" t="s">
        <v>110</v>
      </c>
      <c r="D31" s="259"/>
      <c r="E31" s="260" t="s">
        <v>111</v>
      </c>
      <c r="F31" s="261"/>
      <c r="G31" s="262">
        <v>3</v>
      </c>
      <c r="H31" s="263"/>
      <c r="I31" s="264" t="s">
        <v>29</v>
      </c>
      <c r="J31" s="265"/>
      <c r="K31" s="30" t="s">
        <v>6</v>
      </c>
      <c r="L31" s="90"/>
      <c r="N31" s="213">
        <f>N$7</f>
        <v>46023</v>
      </c>
      <c r="O31" s="213">
        <f>O$7</f>
        <v>46054</v>
      </c>
      <c r="P31" s="213">
        <f>P$7</f>
        <v>46082</v>
      </c>
      <c r="Q31" s="213">
        <v>45748</v>
      </c>
      <c r="R31" s="213">
        <v>45778</v>
      </c>
      <c r="S31" s="213">
        <v>45809</v>
      </c>
      <c r="T31" s="213">
        <v>45839</v>
      </c>
      <c r="U31" s="213">
        <v>45870</v>
      </c>
      <c r="V31" s="213">
        <v>45901</v>
      </c>
      <c r="W31" s="213">
        <v>45931</v>
      </c>
      <c r="X31" s="213">
        <v>45962</v>
      </c>
      <c r="Y31" s="213">
        <v>45992</v>
      </c>
      <c r="Z31" s="84"/>
    </row>
    <row r="32" spans="1:26" s="26" customFormat="1" ht="18.75" customHeight="1" x14ac:dyDescent="0.45">
      <c r="A32" s="65" t="s">
        <v>47</v>
      </c>
      <c r="B32" s="66" t="s">
        <v>12</v>
      </c>
      <c r="C32" s="158">
        <v>22879144.300000004</v>
      </c>
      <c r="D32" s="266">
        <f>C32/C33</f>
        <v>215840.9839622642</v>
      </c>
      <c r="E32" s="12">
        <v>12645787</v>
      </c>
      <c r="F32" s="248">
        <f>E32/E33</f>
        <v>129038.64285714286</v>
      </c>
      <c r="G32" s="67">
        <f>$I$8</f>
        <v>2948182</v>
      </c>
      <c r="H32" s="248">
        <f>G32/G33</f>
        <v>28716.058441558442</v>
      </c>
      <c r="I32" s="31">
        <f>SUBTOTAL(109,$N$32:$Y$32)</f>
        <v>10512849</v>
      </c>
      <c r="J32" s="248">
        <f>I32/I33</f>
        <v>100441.23248407643</v>
      </c>
      <c r="K32" s="319"/>
      <c r="L32" s="87"/>
      <c r="N32" s="33">
        <f t="shared" ref="N32:P32" si="3">N$8</f>
        <v>923950</v>
      </c>
      <c r="O32" s="33">
        <f t="shared" si="3"/>
        <v>867984</v>
      </c>
      <c r="P32" s="33">
        <f t="shared" si="3"/>
        <v>1156248</v>
      </c>
      <c r="Q32" s="33">
        <v>1173741</v>
      </c>
      <c r="R32" s="33">
        <v>956633</v>
      </c>
      <c r="S32" s="33">
        <v>733807</v>
      </c>
      <c r="T32" s="33">
        <v>1026435</v>
      </c>
      <c r="U32" s="33">
        <v>927514</v>
      </c>
      <c r="V32" s="33">
        <v>799312</v>
      </c>
      <c r="W32" s="33">
        <v>632571</v>
      </c>
      <c r="X32" s="33">
        <v>836863</v>
      </c>
      <c r="Y32" s="33">
        <v>477791</v>
      </c>
    </row>
    <row r="33" spans="1:26" s="26" customFormat="1" ht="18.75" customHeight="1" thickBot="1" x14ac:dyDescent="0.5">
      <c r="A33" s="68" t="s">
        <v>12</v>
      </c>
      <c r="B33" s="69" t="s">
        <v>30</v>
      </c>
      <c r="C33" s="159">
        <v>106</v>
      </c>
      <c r="D33" s="267"/>
      <c r="E33" s="161">
        <v>98</v>
      </c>
      <c r="F33" s="249"/>
      <c r="G33" s="70">
        <f>I11/G31</f>
        <v>102.66666666666667</v>
      </c>
      <c r="H33" s="249"/>
      <c r="I33" s="32">
        <f>SUBTOTAL(101,$N$33:$Y$33)</f>
        <v>104.66666666666667</v>
      </c>
      <c r="J33" s="249"/>
      <c r="K33" s="249"/>
      <c r="L33" s="87"/>
      <c r="N33" s="33">
        <f t="shared" ref="N33:P33" si="4">N$11</f>
        <v>103</v>
      </c>
      <c r="O33" s="33">
        <f t="shared" si="4"/>
        <v>103</v>
      </c>
      <c r="P33" s="33">
        <f t="shared" si="4"/>
        <v>102</v>
      </c>
      <c r="Q33" s="33">
        <v>107</v>
      </c>
      <c r="R33" s="33">
        <v>105</v>
      </c>
      <c r="S33" s="33">
        <v>106</v>
      </c>
      <c r="T33" s="33">
        <v>106</v>
      </c>
      <c r="U33" s="33">
        <v>105</v>
      </c>
      <c r="V33" s="33">
        <v>106</v>
      </c>
      <c r="W33" s="33">
        <v>105</v>
      </c>
      <c r="X33" s="33">
        <v>104</v>
      </c>
      <c r="Y33" s="33">
        <v>104</v>
      </c>
    </row>
    <row r="34" spans="1:26" s="26" customFormat="1" ht="12" customHeight="1" x14ac:dyDescent="0.45">
      <c r="C34" s="268" t="s">
        <v>78</v>
      </c>
      <c r="D34" s="268"/>
      <c r="E34" s="268" t="s">
        <v>78</v>
      </c>
      <c r="F34" s="268"/>
      <c r="H34" s="29"/>
      <c r="J34" s="29"/>
      <c r="N34" s="145"/>
      <c r="O34" s="84"/>
      <c r="P34" s="84"/>
      <c r="Q34" s="84"/>
      <c r="R34" s="84"/>
      <c r="S34" s="84"/>
      <c r="T34" s="85"/>
      <c r="U34" s="84"/>
      <c r="V34" s="84"/>
      <c r="W34" s="84"/>
      <c r="X34" s="84"/>
      <c r="Y34" s="84"/>
      <c r="Z34" s="85"/>
    </row>
    <row r="35" spans="1:26" s="26" customFormat="1" ht="18" customHeight="1" x14ac:dyDescent="0.45">
      <c r="A35" s="5" t="s">
        <v>31</v>
      </c>
      <c r="C35" s="33"/>
      <c r="D35" s="29"/>
      <c r="E35" s="33"/>
      <c r="F35" s="29"/>
      <c r="H35" s="7"/>
      <c r="I35" s="7"/>
      <c r="J35" s="29"/>
      <c r="N35" s="145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s="26" customFormat="1" ht="12" customHeight="1" thickBot="1" x14ac:dyDescent="0.5">
      <c r="A36" s="34"/>
      <c r="D36" s="29"/>
      <c r="F36" s="29"/>
      <c r="H36" s="29"/>
      <c r="J36" s="29"/>
      <c r="K36" s="6" t="s">
        <v>1</v>
      </c>
      <c r="L36" s="6"/>
      <c r="N36" s="145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s="26" customFormat="1" ht="19" customHeight="1" x14ac:dyDescent="0.45">
      <c r="A37" s="250" t="s">
        <v>2</v>
      </c>
      <c r="B37" s="248" t="s">
        <v>3</v>
      </c>
      <c r="C37" s="311" t="str">
        <f>+C6</f>
        <v>RKM</v>
      </c>
      <c r="D37" s="253"/>
      <c r="E37" s="255" t="str">
        <f>+E6</f>
        <v>HKMC</v>
      </c>
      <c r="F37" s="257"/>
      <c r="G37" s="255" t="str">
        <f>+G6</f>
        <v>計</v>
      </c>
      <c r="H37" s="257"/>
      <c r="I37" s="255" t="s">
        <v>5</v>
      </c>
      <c r="J37" s="253"/>
      <c r="K37" s="248" t="s">
        <v>6</v>
      </c>
      <c r="L37" s="87"/>
      <c r="N37" s="145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s="26" customFormat="1" ht="19" customHeight="1" thickBot="1" x14ac:dyDescent="0.5">
      <c r="A38" s="251"/>
      <c r="B38" s="249"/>
      <c r="C38" s="35" t="s">
        <v>7</v>
      </c>
      <c r="D38" s="10" t="s">
        <v>8</v>
      </c>
      <c r="E38" s="8" t="s">
        <v>9</v>
      </c>
      <c r="F38" s="9" t="s">
        <v>10</v>
      </c>
      <c r="G38" s="8" t="s">
        <v>9</v>
      </c>
      <c r="H38" s="9" t="s">
        <v>10</v>
      </c>
      <c r="I38" s="8" t="s">
        <v>9</v>
      </c>
      <c r="J38" s="10" t="s">
        <v>10</v>
      </c>
      <c r="K38" s="249"/>
      <c r="L38" s="87"/>
      <c r="N38" s="213">
        <f>N$7</f>
        <v>46023</v>
      </c>
      <c r="O38" s="213">
        <f t="shared" ref="O38:Y38" si="5">O$7</f>
        <v>46054</v>
      </c>
      <c r="P38" s="213">
        <f t="shared" si="5"/>
        <v>46082</v>
      </c>
      <c r="Q38" s="213">
        <f t="shared" si="5"/>
        <v>46113</v>
      </c>
      <c r="R38" s="213">
        <f t="shared" si="5"/>
        <v>46143</v>
      </c>
      <c r="S38" s="213">
        <f t="shared" si="5"/>
        <v>46174</v>
      </c>
      <c r="T38" s="213">
        <f t="shared" si="5"/>
        <v>46204</v>
      </c>
      <c r="U38" s="213">
        <f t="shared" si="5"/>
        <v>46235</v>
      </c>
      <c r="V38" s="213">
        <f t="shared" si="5"/>
        <v>46266</v>
      </c>
      <c r="W38" s="213">
        <f t="shared" si="5"/>
        <v>46296</v>
      </c>
      <c r="X38" s="213">
        <f t="shared" si="5"/>
        <v>46327</v>
      </c>
      <c r="Y38" s="213">
        <f t="shared" si="5"/>
        <v>46357</v>
      </c>
      <c r="Z38" s="84"/>
    </row>
    <row r="39" spans="1:26" s="26" customFormat="1" ht="19" customHeight="1" x14ac:dyDescent="0.45">
      <c r="A39" s="38" t="s">
        <v>32</v>
      </c>
      <c r="B39" s="39" t="s">
        <v>33</v>
      </c>
      <c r="C39" s="153">
        <f>'노무비(인원,근무시간 등(25_01)'!$C$5</f>
        <v>33.004497198466531</v>
      </c>
      <c r="D39" s="312"/>
      <c r="E39" s="156">
        <f>'노무비(인원,근무시간 등(25_01)'!$D$5</f>
        <v>24.995502801533469</v>
      </c>
      <c r="F39" s="242"/>
      <c r="G39" s="13">
        <f>$C$39+$E$39</f>
        <v>58</v>
      </c>
      <c r="H39" s="242"/>
      <c r="I39" s="40">
        <f>SUBTOTAL(109,$N$39:$Y$39)</f>
        <v>178</v>
      </c>
      <c r="J39" s="244"/>
      <c r="K39" s="41"/>
      <c r="L39" s="149"/>
      <c r="M39" s="189" t="s">
        <v>97</v>
      </c>
      <c r="N39" s="185">
        <v>62</v>
      </c>
      <c r="O39" s="185">
        <v>58</v>
      </c>
      <c r="P39" s="150">
        <v>58</v>
      </c>
      <c r="Q39" s="150"/>
      <c r="R39" s="150"/>
      <c r="S39" s="150"/>
      <c r="T39" s="150"/>
      <c r="U39" s="150"/>
      <c r="V39" s="150"/>
      <c r="W39" s="150"/>
      <c r="X39" s="185"/>
      <c r="Y39" s="185"/>
      <c r="Z39" s="84"/>
    </row>
    <row r="40" spans="1:26" s="26" customFormat="1" ht="19" customHeight="1" x14ac:dyDescent="0.45">
      <c r="A40" s="42" t="s">
        <v>34</v>
      </c>
      <c r="B40" s="43"/>
      <c r="C40" s="188">
        <f>'노무비(인원,근무시간 등(25_01)'!$C$16</f>
        <v>8772.0832166027722</v>
      </c>
      <c r="D40" s="313"/>
      <c r="E40" s="47">
        <f>'노무비(인원,근무시간 등(25_01)'!$C$17</f>
        <v>6643.4167833972278</v>
      </c>
      <c r="F40" s="243"/>
      <c r="G40" s="71">
        <f>$C$40+$E$40</f>
        <v>15415.5</v>
      </c>
      <c r="H40" s="243"/>
      <c r="I40" s="151">
        <f>SUBTOTAL(109,$N$40:$Y$40)</f>
        <v>41888.5</v>
      </c>
      <c r="J40" s="245"/>
      <c r="K40" s="146"/>
      <c r="L40" s="149"/>
      <c r="M40" s="190">
        <v>118114</v>
      </c>
      <c r="N40" s="145">
        <v>13731</v>
      </c>
      <c r="O40" s="145">
        <v>12742</v>
      </c>
      <c r="P40" s="145">
        <v>15415.5</v>
      </c>
      <c r="Q40" s="83"/>
      <c r="R40" s="83"/>
      <c r="S40" s="93"/>
      <c r="T40" s="93"/>
      <c r="U40" s="93"/>
      <c r="V40" s="93"/>
      <c r="W40" s="93"/>
      <c r="X40" s="145"/>
      <c r="Y40" s="145"/>
      <c r="Z40" s="82"/>
    </row>
    <row r="41" spans="1:26" s="26" customFormat="1" ht="19" customHeight="1" x14ac:dyDescent="0.45">
      <c r="A41" s="220" t="s">
        <v>35</v>
      </c>
      <c r="B41" s="11" t="s">
        <v>21</v>
      </c>
      <c r="C41" s="55">
        <f>$M$40+'노무비(25-05)'!$E$8</f>
        <v>137233</v>
      </c>
      <c r="D41" s="246">
        <f>C41/C42</f>
        <v>15.64428843313541</v>
      </c>
      <c r="E41" s="46">
        <f>$M$42+'노무비(25-05)'!$J$8</f>
        <v>54172</v>
      </c>
      <c r="F41" s="226">
        <f>E41/E42</f>
        <v>8.1542377614156241</v>
      </c>
      <c r="G41" s="18">
        <f>$C$41+$E$41</f>
        <v>191405</v>
      </c>
      <c r="H41" s="226">
        <f>G41/G42</f>
        <v>12.41639907884921</v>
      </c>
      <c r="I41" s="181">
        <f>SUBTOTAL(109,$N$41:$Y$41)</f>
        <v>503535</v>
      </c>
      <c r="J41" s="224">
        <f>I41/I42</f>
        <v>12.020841042290844</v>
      </c>
      <c r="K41" s="309"/>
      <c r="L41" s="149"/>
      <c r="M41" s="189" t="s">
        <v>98</v>
      </c>
      <c r="N41" s="210">
        <v>117127</v>
      </c>
      <c r="O41" s="100">
        <v>195003</v>
      </c>
      <c r="P41" s="100">
        <v>191405</v>
      </c>
      <c r="Q41" s="100"/>
      <c r="R41" s="100"/>
      <c r="S41" s="100"/>
      <c r="T41" s="100"/>
      <c r="U41" s="100"/>
      <c r="V41" s="100"/>
      <c r="W41" s="100"/>
      <c r="X41" s="100"/>
      <c r="Y41" s="100"/>
      <c r="Z41" s="84"/>
    </row>
    <row r="42" spans="1:26" s="26" customFormat="1" ht="19" customHeight="1" x14ac:dyDescent="0.45">
      <c r="A42" s="235"/>
      <c r="B42" s="15" t="s">
        <v>36</v>
      </c>
      <c r="C42" s="56">
        <f>$C$40</f>
        <v>8772.0832166027722</v>
      </c>
      <c r="D42" s="247"/>
      <c r="E42" s="47">
        <f>$E$40</f>
        <v>6643.4167833972278</v>
      </c>
      <c r="F42" s="233"/>
      <c r="G42" s="16">
        <f>$G$40</f>
        <v>15415.5</v>
      </c>
      <c r="H42" s="233"/>
      <c r="I42" s="17">
        <f>$I$40</f>
        <v>41888.5</v>
      </c>
      <c r="J42" s="230"/>
      <c r="K42" s="310"/>
      <c r="L42" s="149"/>
      <c r="M42" s="190">
        <v>44824</v>
      </c>
      <c r="N42" s="213">
        <f>N$7</f>
        <v>46023</v>
      </c>
      <c r="O42" s="213">
        <f t="shared" ref="O42:Y42" si="6">O$7</f>
        <v>46054</v>
      </c>
      <c r="P42" s="213">
        <f t="shared" si="6"/>
        <v>46082</v>
      </c>
      <c r="Q42" s="213">
        <f t="shared" si="6"/>
        <v>46113</v>
      </c>
      <c r="R42" s="213">
        <f t="shared" si="6"/>
        <v>46143</v>
      </c>
      <c r="S42" s="213">
        <f t="shared" si="6"/>
        <v>46174</v>
      </c>
      <c r="T42" s="213">
        <f t="shared" si="6"/>
        <v>46204</v>
      </c>
      <c r="U42" s="213">
        <f t="shared" si="6"/>
        <v>46235</v>
      </c>
      <c r="V42" s="213">
        <f t="shared" si="6"/>
        <v>46266</v>
      </c>
      <c r="W42" s="213">
        <f t="shared" si="6"/>
        <v>46296</v>
      </c>
      <c r="X42" s="213">
        <f t="shared" si="6"/>
        <v>46327</v>
      </c>
      <c r="Y42" s="213">
        <f t="shared" si="6"/>
        <v>46357</v>
      </c>
      <c r="Z42" s="84"/>
    </row>
    <row r="43" spans="1:26" s="26" customFormat="1" ht="19" customHeight="1" x14ac:dyDescent="0.45">
      <c r="A43" s="220" t="s">
        <v>37</v>
      </c>
      <c r="B43" s="11" t="s">
        <v>38</v>
      </c>
      <c r="C43" s="98">
        <v>1518529</v>
      </c>
      <c r="D43" s="224">
        <f>C43/C44</f>
        <v>46009.760150824368</v>
      </c>
      <c r="E43" s="99">
        <v>1179559</v>
      </c>
      <c r="F43" s="226">
        <f>E43/E44</f>
        <v>47190.849064561895</v>
      </c>
      <c r="G43" s="18">
        <f>$C$43+$E$43</f>
        <v>2698088</v>
      </c>
      <c r="H43" s="226">
        <f>G43/G44</f>
        <v>46518.758620689652</v>
      </c>
      <c r="I43" s="152">
        <f>SUBTOTAL(109,$N$43:$Y$43)</f>
        <v>6935679</v>
      </c>
      <c r="J43" s="224">
        <f>I43/I44</f>
        <v>38964.488764044945</v>
      </c>
      <c r="K43" s="309"/>
      <c r="L43" s="149"/>
      <c r="M43" s="77"/>
      <c r="N43" s="210">
        <v>2211637</v>
      </c>
      <c r="O43" s="210">
        <v>2025954</v>
      </c>
      <c r="P43" s="210">
        <v>2698088</v>
      </c>
      <c r="Q43" s="210"/>
      <c r="R43" s="210"/>
      <c r="S43" s="210"/>
      <c r="T43" s="100"/>
      <c r="U43" s="100"/>
      <c r="V43" s="100"/>
      <c r="W43" s="100"/>
      <c r="X43" s="100"/>
      <c r="Y43" s="100"/>
      <c r="Z43" s="84"/>
    </row>
    <row r="44" spans="1:26" s="26" customFormat="1" ht="19" customHeight="1" x14ac:dyDescent="0.45">
      <c r="A44" s="235"/>
      <c r="B44" s="15" t="s">
        <v>26</v>
      </c>
      <c r="C44" s="17">
        <f>$C$39</f>
        <v>33.004497198466531</v>
      </c>
      <c r="D44" s="230"/>
      <c r="E44" s="49">
        <f>$E$39</f>
        <v>24.995502801533469</v>
      </c>
      <c r="F44" s="233"/>
      <c r="G44" s="16">
        <f>$C$44+$E$44</f>
        <v>58</v>
      </c>
      <c r="H44" s="233"/>
      <c r="I44" s="16">
        <f>$I$39</f>
        <v>178</v>
      </c>
      <c r="J44" s="230"/>
      <c r="K44" s="310"/>
      <c r="L44" s="149"/>
      <c r="M44" s="7"/>
      <c r="N44" s="145"/>
      <c r="O44" s="212"/>
      <c r="P44" s="212"/>
      <c r="Q44" s="212"/>
      <c r="R44" s="84"/>
      <c r="S44" s="100"/>
      <c r="T44" s="100"/>
      <c r="U44" s="100"/>
      <c r="V44" s="100"/>
      <c r="W44" s="84"/>
      <c r="X44" s="84"/>
      <c r="Y44" s="84"/>
      <c r="Z44" s="84"/>
    </row>
    <row r="45" spans="1:26" s="26" customFormat="1" ht="19" customHeight="1" x14ac:dyDescent="0.45">
      <c r="A45" s="220" t="s">
        <v>39</v>
      </c>
      <c r="B45" s="11" t="s">
        <v>40</v>
      </c>
      <c r="C45" s="19">
        <f>$C$41</f>
        <v>137233</v>
      </c>
      <c r="D45" s="224">
        <f>C45/C46</f>
        <v>4158.0091093275669</v>
      </c>
      <c r="E45" s="48">
        <f>$E$41</f>
        <v>54172</v>
      </c>
      <c r="F45" s="226">
        <f>E45/E46</f>
        <v>2167.2698657086648</v>
      </c>
      <c r="G45" s="18">
        <f>$C$45+$E$45</f>
        <v>191405</v>
      </c>
      <c r="H45" s="226">
        <f>G45/G46</f>
        <v>3300.0862068965516</v>
      </c>
      <c r="I45" s="18">
        <f>$I$41</f>
        <v>503535</v>
      </c>
      <c r="J45" s="224">
        <f>I45/I46</f>
        <v>2828.8483146067415</v>
      </c>
      <c r="K45" s="309"/>
      <c r="L45" s="149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84"/>
      <c r="Y45" s="84"/>
      <c r="Z45" s="84"/>
    </row>
    <row r="46" spans="1:26" s="26" customFormat="1" ht="19" customHeight="1" x14ac:dyDescent="0.45">
      <c r="A46" s="234"/>
      <c r="B46" s="15" t="s">
        <v>26</v>
      </c>
      <c r="C46" s="17">
        <f>$C$39</f>
        <v>33.004497198466531</v>
      </c>
      <c r="D46" s="230"/>
      <c r="E46" s="49">
        <f>$E$39</f>
        <v>24.995502801533469</v>
      </c>
      <c r="F46" s="233"/>
      <c r="G46" s="16">
        <f>$G$39</f>
        <v>58</v>
      </c>
      <c r="H46" s="233"/>
      <c r="I46" s="16">
        <f>$I$39</f>
        <v>178</v>
      </c>
      <c r="J46" s="230"/>
      <c r="K46" s="310"/>
      <c r="L46" s="149"/>
      <c r="M46" s="205"/>
      <c r="N46" s="213">
        <f>N$7</f>
        <v>46023</v>
      </c>
      <c r="O46" s="213">
        <f t="shared" ref="O46:Y46" si="7">O$7</f>
        <v>46054</v>
      </c>
      <c r="P46" s="213">
        <f t="shared" si="7"/>
        <v>46082</v>
      </c>
      <c r="Q46" s="213">
        <f t="shared" si="7"/>
        <v>46113</v>
      </c>
      <c r="R46" s="213">
        <f t="shared" si="7"/>
        <v>46143</v>
      </c>
      <c r="S46" s="213">
        <f t="shared" si="7"/>
        <v>46174</v>
      </c>
      <c r="T46" s="213">
        <f t="shared" si="7"/>
        <v>46204</v>
      </c>
      <c r="U46" s="213">
        <f t="shared" si="7"/>
        <v>46235</v>
      </c>
      <c r="V46" s="213">
        <f t="shared" si="7"/>
        <v>46266</v>
      </c>
      <c r="W46" s="213">
        <f t="shared" si="7"/>
        <v>46296</v>
      </c>
      <c r="X46" s="213">
        <f t="shared" si="7"/>
        <v>46327</v>
      </c>
      <c r="Y46" s="213">
        <f t="shared" si="7"/>
        <v>46357</v>
      </c>
      <c r="Z46" s="84"/>
    </row>
    <row r="47" spans="1:26" s="26" customFormat="1" ht="19" customHeight="1" x14ac:dyDescent="0.45">
      <c r="A47" s="234"/>
      <c r="B47" s="11" t="s">
        <v>41</v>
      </c>
      <c r="C47" s="55">
        <f>'노무비(25-05)'!$E$14</f>
        <v>14486.821666666667</v>
      </c>
      <c r="D47" s="246">
        <f>C47/C48</f>
        <v>438.93477848042357</v>
      </c>
      <c r="E47" s="46">
        <f>'노무비(25-05)'!$J$14</f>
        <v>4070.5508333333337</v>
      </c>
      <c r="F47" s="226">
        <f>E47/E48</f>
        <v>162.85132832309364</v>
      </c>
      <c r="G47" s="18">
        <f>$C$47+$E$47</f>
        <v>18557.372500000001</v>
      </c>
      <c r="H47" s="226">
        <f>G47/G48</f>
        <v>319.95469827586209</v>
      </c>
      <c r="I47" s="152">
        <f>SUBTOTAL(109,$N$47:$Y$47)</f>
        <v>59030.77529904306</v>
      </c>
      <c r="J47" s="224">
        <f>I47/I48</f>
        <v>331.63356909574753</v>
      </c>
      <c r="K47" s="309"/>
      <c r="L47" s="149"/>
      <c r="N47" s="210">
        <v>19863.402799043062</v>
      </c>
      <c r="O47" s="210">
        <v>20610</v>
      </c>
      <c r="P47" s="210">
        <v>18557.372500000001</v>
      </c>
      <c r="Q47" s="210"/>
      <c r="R47" s="210"/>
      <c r="S47" s="100"/>
      <c r="T47" s="100"/>
      <c r="U47" s="100"/>
      <c r="V47" s="100"/>
      <c r="W47" s="100"/>
      <c r="X47" s="100"/>
      <c r="Y47" s="100"/>
      <c r="Z47" s="84"/>
    </row>
    <row r="48" spans="1:26" s="26" customFormat="1" ht="19" customHeight="1" x14ac:dyDescent="0.45">
      <c r="A48" s="234"/>
      <c r="B48" s="15" t="s">
        <v>26</v>
      </c>
      <c r="C48" s="56">
        <f>$C$39</f>
        <v>33.004497198466531</v>
      </c>
      <c r="D48" s="247"/>
      <c r="E48" s="47">
        <f>$E$39</f>
        <v>24.995502801533469</v>
      </c>
      <c r="F48" s="233"/>
      <c r="G48" s="16">
        <f>$C$48+$E$48</f>
        <v>58</v>
      </c>
      <c r="H48" s="233"/>
      <c r="I48" s="16">
        <f>$I$39</f>
        <v>178</v>
      </c>
      <c r="J48" s="230"/>
      <c r="K48" s="310"/>
      <c r="L48" s="149"/>
      <c r="M48" s="205"/>
      <c r="N48" s="145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s="26" customFormat="1" ht="19" customHeight="1" x14ac:dyDescent="0.45">
      <c r="A49" s="234"/>
      <c r="B49" s="11" t="s">
        <v>42</v>
      </c>
      <c r="C49" s="19">
        <f>$C$47+$C$45</f>
        <v>151719.82166666666</v>
      </c>
      <c r="D49" s="224">
        <f>C49/C50</f>
        <v>4596.94388780799</v>
      </c>
      <c r="E49" s="48">
        <f>$E$47+$E$45</f>
        <v>58242.550833333335</v>
      </c>
      <c r="F49" s="226">
        <f>E49/E50</f>
        <v>2330.1211940317585</v>
      </c>
      <c r="G49" s="18">
        <f>$G$47+$G$45</f>
        <v>209962.3725</v>
      </c>
      <c r="H49" s="226">
        <f>G49/G50</f>
        <v>3620.0409051724137</v>
      </c>
      <c r="I49" s="18">
        <f>$I$47+$I$45</f>
        <v>562565.77529904305</v>
      </c>
      <c r="J49" s="224">
        <f>I49/I50</f>
        <v>3160.4818837024891</v>
      </c>
      <c r="K49" s="309"/>
      <c r="L49" s="149"/>
      <c r="M49" s="205"/>
      <c r="N49" s="145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s="26" customFormat="1" ht="19" customHeight="1" x14ac:dyDescent="0.45">
      <c r="A50" s="235"/>
      <c r="B50" s="15" t="s">
        <v>26</v>
      </c>
      <c r="C50" s="17">
        <f>$C$39</f>
        <v>33.004497198466531</v>
      </c>
      <c r="D50" s="230"/>
      <c r="E50" s="49">
        <f>$E$39</f>
        <v>24.995502801533469</v>
      </c>
      <c r="F50" s="233"/>
      <c r="G50" s="16">
        <f>$G$39</f>
        <v>58</v>
      </c>
      <c r="H50" s="233"/>
      <c r="I50" s="16">
        <f>I39</f>
        <v>178</v>
      </c>
      <c r="J50" s="230"/>
      <c r="K50" s="310"/>
      <c r="L50" s="149"/>
      <c r="N50" s="145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s="26" customFormat="1" ht="19" customHeight="1" x14ac:dyDescent="0.45">
      <c r="A51" s="220" t="s">
        <v>43</v>
      </c>
      <c r="B51" s="11" t="s">
        <v>38</v>
      </c>
      <c r="C51" s="19">
        <f>$C$43</f>
        <v>1518529</v>
      </c>
      <c r="D51" s="224">
        <f>C51/C52</f>
        <v>10.008771321497182</v>
      </c>
      <c r="E51" s="48">
        <f>$E$43</f>
        <v>1179559</v>
      </c>
      <c r="F51" s="226">
        <f>E51/E52</f>
        <v>20.252529862152187</v>
      </c>
      <c r="G51" s="18">
        <f>$G$43</f>
        <v>2698088</v>
      </c>
      <c r="H51" s="226">
        <f>G51/G52</f>
        <v>12.850340600909337</v>
      </c>
      <c r="I51" s="18">
        <f>$I$43</f>
        <v>6935679</v>
      </c>
      <c r="J51" s="224">
        <f>I51/I52</f>
        <v>12.328654362795536</v>
      </c>
      <c r="K51" s="309"/>
      <c r="L51" s="149"/>
      <c r="M51" s="205"/>
      <c r="N51" s="145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s="26" customFormat="1" ht="19" customHeight="1" thickBot="1" x14ac:dyDescent="0.5">
      <c r="A52" s="221"/>
      <c r="B52" s="23" t="s">
        <v>44</v>
      </c>
      <c r="C52" s="25">
        <f>$C$45+$C$47</f>
        <v>151719.82166666666</v>
      </c>
      <c r="D52" s="225"/>
      <c r="E52" s="50">
        <f>$E$45+$E$47</f>
        <v>58242.550833333335</v>
      </c>
      <c r="F52" s="227"/>
      <c r="G52" s="24">
        <f>$G$45+$G$47</f>
        <v>209962.3725</v>
      </c>
      <c r="H52" s="227"/>
      <c r="I52" s="24">
        <f>$I$47+$I$45</f>
        <v>562565.77529904305</v>
      </c>
      <c r="J52" s="225"/>
      <c r="K52" s="314"/>
      <c r="L52" s="149"/>
      <c r="N52" s="145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s="26" customFormat="1" ht="18" customHeight="1" x14ac:dyDescent="0.45">
      <c r="C53" s="72"/>
      <c r="D53" s="73"/>
      <c r="E53" s="72"/>
      <c r="F53" s="73"/>
      <c r="H53" s="29"/>
      <c r="I53" s="33"/>
      <c r="J53" s="29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8" customHeight="1" x14ac:dyDescent="0.45">
      <c r="G54" s="51"/>
      <c r="H54" s="51"/>
      <c r="I54" s="51"/>
      <c r="J54" s="51"/>
    </row>
    <row r="55" spans="1:26" ht="18" customHeight="1" x14ac:dyDescent="0.45">
      <c r="C55" s="1"/>
      <c r="D55" s="2"/>
      <c r="E55" s="1"/>
      <c r="F55" s="2"/>
      <c r="G55" s="51"/>
      <c r="N55" s="211"/>
    </row>
    <row r="56" spans="1:26" ht="18" customHeight="1" x14ac:dyDescent="0.45">
      <c r="C56" s="1"/>
      <c r="D56" s="2"/>
      <c r="E56" s="1"/>
      <c r="F56" s="2"/>
      <c r="G56" s="51"/>
    </row>
    <row r="57" spans="1:26" ht="18" customHeight="1" x14ac:dyDescent="0.45">
      <c r="C57" s="1"/>
      <c r="D57" s="2"/>
      <c r="E57" s="1"/>
      <c r="F57" s="2"/>
      <c r="G57" s="51"/>
    </row>
    <row r="58" spans="1:26" ht="16" customHeight="1" x14ac:dyDescent="0.45">
      <c r="C58" s="1"/>
      <c r="D58" s="2"/>
      <c r="E58" s="1"/>
      <c r="F58" s="2"/>
    </row>
    <row r="59" spans="1:26" ht="16" customHeight="1" x14ac:dyDescent="0.45">
      <c r="C59" s="1"/>
      <c r="D59" s="2"/>
      <c r="E59" s="1"/>
      <c r="F59" s="2"/>
    </row>
    <row r="60" spans="1:26" ht="16" customHeight="1" x14ac:dyDescent="0.45">
      <c r="C60" s="1"/>
      <c r="D60" s="2"/>
      <c r="E60" s="1"/>
      <c r="F60" s="2"/>
    </row>
    <row r="61" spans="1:26" ht="16" customHeight="1" x14ac:dyDescent="0.45">
      <c r="C61" s="1"/>
      <c r="D61" s="2"/>
      <c r="E61" s="1"/>
      <c r="F61" s="2"/>
    </row>
    <row r="62" spans="1:26" ht="16" customHeight="1" x14ac:dyDescent="0.45">
      <c r="C62" s="1"/>
      <c r="D62" s="2"/>
      <c r="E62" s="1"/>
      <c r="F62" s="2"/>
    </row>
    <row r="63" spans="1:26" ht="16" customHeight="1" x14ac:dyDescent="0.45">
      <c r="C63" s="1"/>
      <c r="D63" s="2"/>
      <c r="E63" s="1"/>
      <c r="F63" s="2"/>
    </row>
    <row r="64" spans="1:26" ht="16" customHeight="1" x14ac:dyDescent="0.45">
      <c r="C64" s="1"/>
      <c r="D64" s="2"/>
      <c r="E64" s="1"/>
      <c r="F64" s="2"/>
    </row>
    <row r="65" spans="3:6" ht="16" customHeight="1" x14ac:dyDescent="0.45">
      <c r="C65" s="1"/>
      <c r="D65" s="2"/>
      <c r="E65" s="1"/>
      <c r="F65" s="2"/>
    </row>
    <row r="66" spans="3:6" ht="16" customHeight="1" x14ac:dyDescent="0.45">
      <c r="C66" s="1"/>
      <c r="D66" s="2"/>
      <c r="E66" s="1"/>
      <c r="F66" s="2"/>
    </row>
    <row r="67" spans="3:6" ht="16" customHeight="1" x14ac:dyDescent="0.45">
      <c r="C67" s="1"/>
      <c r="D67" s="2"/>
      <c r="E67" s="1"/>
      <c r="F67" s="2"/>
    </row>
    <row r="68" spans="3:6" ht="16" customHeight="1" x14ac:dyDescent="0.45">
      <c r="C68" s="1"/>
      <c r="D68" s="2"/>
      <c r="E68" s="1"/>
      <c r="F68" s="2"/>
    </row>
    <row r="69" spans="3:6" ht="16" customHeight="1" x14ac:dyDescent="0.45">
      <c r="C69" s="1"/>
      <c r="D69" s="2"/>
      <c r="E69" s="1"/>
      <c r="F69" s="2"/>
    </row>
    <row r="70" spans="3:6" ht="16" customHeight="1" x14ac:dyDescent="0.45">
      <c r="C70" s="1"/>
      <c r="D70" s="2"/>
      <c r="E70" s="1"/>
      <c r="F70" s="2"/>
    </row>
    <row r="71" spans="3:6" ht="16" customHeight="1" x14ac:dyDescent="0.45">
      <c r="C71" s="1"/>
      <c r="D71" s="2"/>
      <c r="E71" s="1"/>
      <c r="F71" s="2"/>
    </row>
    <row r="72" spans="3:6" ht="16" customHeight="1" x14ac:dyDescent="0.45">
      <c r="C72" s="1"/>
      <c r="D72" s="2"/>
      <c r="E72" s="1"/>
      <c r="F72" s="2"/>
    </row>
    <row r="73" spans="3:6" ht="16" customHeight="1" x14ac:dyDescent="0.45">
      <c r="C73" s="1"/>
      <c r="D73" s="2"/>
      <c r="E73" s="1"/>
      <c r="F73" s="2"/>
    </row>
    <row r="74" spans="3:6" ht="20.149999999999999" customHeight="1" x14ac:dyDescent="0.45">
      <c r="C74" s="1"/>
      <c r="D74" s="2"/>
      <c r="E74" s="1"/>
      <c r="F74" s="2"/>
    </row>
    <row r="75" spans="3:6" ht="20.149999999999999" customHeight="1" x14ac:dyDescent="0.45">
      <c r="C75" s="1"/>
      <c r="D75" s="2"/>
      <c r="E75" s="1"/>
      <c r="F75" s="2"/>
    </row>
    <row r="76" spans="3:6" ht="20.149999999999999" customHeight="1" x14ac:dyDescent="0.45">
      <c r="C76" s="1"/>
      <c r="D76" s="2"/>
      <c r="E76" s="1"/>
      <c r="F76" s="2"/>
    </row>
    <row r="77" spans="3:6" ht="20.149999999999999" customHeight="1" x14ac:dyDescent="0.45">
      <c r="C77" s="1"/>
      <c r="D77" s="2"/>
      <c r="E77" s="1"/>
      <c r="F77" s="2"/>
    </row>
    <row r="78" spans="3:6" ht="20.149999999999999" customHeight="1" x14ac:dyDescent="0.45">
      <c r="C78" s="1"/>
      <c r="D78" s="2"/>
      <c r="E78" s="1"/>
      <c r="F78" s="2"/>
    </row>
    <row r="79" spans="3:6" ht="20.149999999999999" customHeight="1" x14ac:dyDescent="0.45">
      <c r="C79" s="1"/>
      <c r="D79" s="2"/>
      <c r="E79" s="1"/>
      <c r="F79" s="2"/>
    </row>
    <row r="80" spans="3:6" ht="20.149999999999999" customHeight="1" x14ac:dyDescent="0.45">
      <c r="C80" s="1"/>
      <c r="D80" s="2"/>
      <c r="E80" s="1"/>
      <c r="F80" s="2"/>
    </row>
    <row r="81" spans="3:6" ht="20.149999999999999" customHeight="1" x14ac:dyDescent="0.45">
      <c r="C81" s="1"/>
      <c r="D81" s="2"/>
      <c r="E81" s="1"/>
      <c r="F81" s="2"/>
    </row>
    <row r="82" spans="3:6" ht="20.149999999999999" customHeight="1" x14ac:dyDescent="0.45">
      <c r="C82" s="1"/>
      <c r="D82" s="2"/>
      <c r="E82" s="1"/>
      <c r="F82" s="2"/>
    </row>
    <row r="83" spans="3:6" ht="20.149999999999999" customHeight="1" x14ac:dyDescent="0.45">
      <c r="C83" s="1"/>
      <c r="D83" s="2"/>
      <c r="E83" s="1"/>
      <c r="F83" s="2"/>
    </row>
    <row r="84" spans="3:6" ht="20.149999999999999" customHeight="1" x14ac:dyDescent="0.45">
      <c r="C84" s="1"/>
      <c r="D84" s="2"/>
      <c r="E84" s="1"/>
      <c r="F84" s="2"/>
    </row>
    <row r="85" spans="3:6" ht="20.149999999999999" customHeight="1" x14ac:dyDescent="0.45">
      <c r="C85" s="1"/>
      <c r="D85" s="2"/>
      <c r="E85" s="1"/>
      <c r="F85" s="2"/>
    </row>
    <row r="86" spans="3:6" ht="20.149999999999999" customHeight="1" x14ac:dyDescent="0.45">
      <c r="C86" s="1"/>
      <c r="D86" s="2"/>
      <c r="E86" s="1"/>
      <c r="F86" s="2"/>
    </row>
  </sheetData>
  <mergeCells count="123">
    <mergeCell ref="F14:F15"/>
    <mergeCell ref="H14:H15"/>
    <mergeCell ref="J14:J15"/>
    <mergeCell ref="K14:K15"/>
    <mergeCell ref="K6:K7"/>
    <mergeCell ref="A8:A9"/>
    <mergeCell ref="D8:D9"/>
    <mergeCell ref="F8:F9"/>
    <mergeCell ref="H8:H9"/>
    <mergeCell ref="J8:J9"/>
    <mergeCell ref="K8:K9"/>
    <mergeCell ref="A6:A7"/>
    <mergeCell ref="B6:B7"/>
    <mergeCell ref="C6:D6"/>
    <mergeCell ref="E6:F6"/>
    <mergeCell ref="G6:H6"/>
    <mergeCell ref="I6:J6"/>
    <mergeCell ref="K20:K21"/>
    <mergeCell ref="K16:K17"/>
    <mergeCell ref="D18:D19"/>
    <mergeCell ref="F18:F19"/>
    <mergeCell ref="H18:H19"/>
    <mergeCell ref="J18:J19"/>
    <mergeCell ref="K18:K19"/>
    <mergeCell ref="A10:A11"/>
    <mergeCell ref="D10:D11"/>
    <mergeCell ref="F10:F11"/>
    <mergeCell ref="H10:H11"/>
    <mergeCell ref="J10:J11"/>
    <mergeCell ref="K10:K11"/>
    <mergeCell ref="A12:A17"/>
    <mergeCell ref="D12:D13"/>
    <mergeCell ref="F12:F13"/>
    <mergeCell ref="H12:H13"/>
    <mergeCell ref="J12:J13"/>
    <mergeCell ref="K12:K13"/>
    <mergeCell ref="D16:D17"/>
    <mergeCell ref="F16:F17"/>
    <mergeCell ref="H16:H17"/>
    <mergeCell ref="J16:J17"/>
    <mergeCell ref="D14:D15"/>
    <mergeCell ref="A18:A23"/>
    <mergeCell ref="C31:D31"/>
    <mergeCell ref="E31:F31"/>
    <mergeCell ref="G31:H31"/>
    <mergeCell ref="I31:J31"/>
    <mergeCell ref="D28:D29"/>
    <mergeCell ref="F28:F29"/>
    <mergeCell ref="H28:H29"/>
    <mergeCell ref="J28:J29"/>
    <mergeCell ref="F26:F27"/>
    <mergeCell ref="H26:H27"/>
    <mergeCell ref="J26:J27"/>
    <mergeCell ref="A24:A29"/>
    <mergeCell ref="D24:D25"/>
    <mergeCell ref="F24:F25"/>
    <mergeCell ref="H24:H25"/>
    <mergeCell ref="J24:J25"/>
    <mergeCell ref="D26:D27"/>
    <mergeCell ref="D20:D21"/>
    <mergeCell ref="F20:F21"/>
    <mergeCell ref="H20:H21"/>
    <mergeCell ref="J20:J21"/>
    <mergeCell ref="D22:D23"/>
    <mergeCell ref="F22:F23"/>
    <mergeCell ref="H22:H23"/>
    <mergeCell ref="J22:J23"/>
    <mergeCell ref="K22:K23"/>
    <mergeCell ref="K28:K29"/>
    <mergeCell ref="K26:K27"/>
    <mergeCell ref="K24:K25"/>
    <mergeCell ref="K37:K38"/>
    <mergeCell ref="D32:D33"/>
    <mergeCell ref="F32:F33"/>
    <mergeCell ref="H32:H33"/>
    <mergeCell ref="J32:J33"/>
    <mergeCell ref="K32:K33"/>
    <mergeCell ref="C34:D34"/>
    <mergeCell ref="E34:F34"/>
    <mergeCell ref="K49:K50"/>
    <mergeCell ref="A51:A52"/>
    <mergeCell ref="D51:D52"/>
    <mergeCell ref="F51:F52"/>
    <mergeCell ref="H51:H52"/>
    <mergeCell ref="J51:J52"/>
    <mergeCell ref="K51:K52"/>
    <mergeCell ref="A45:A50"/>
    <mergeCell ref="D49:D50"/>
    <mergeCell ref="F49:F50"/>
    <mergeCell ref="H49:H50"/>
    <mergeCell ref="J49:J50"/>
    <mergeCell ref="D47:D48"/>
    <mergeCell ref="F47:F48"/>
    <mergeCell ref="H47:H48"/>
    <mergeCell ref="J47:J48"/>
    <mergeCell ref="K47:K48"/>
    <mergeCell ref="D45:D46"/>
    <mergeCell ref="F45:F46"/>
    <mergeCell ref="H45:H46"/>
    <mergeCell ref="J45:J46"/>
    <mergeCell ref="K45:K46"/>
    <mergeCell ref="K43:K44"/>
    <mergeCell ref="A41:A42"/>
    <mergeCell ref="D41:D42"/>
    <mergeCell ref="F41:F42"/>
    <mergeCell ref="H41:H42"/>
    <mergeCell ref="J41:J42"/>
    <mergeCell ref="K41:K42"/>
    <mergeCell ref="C37:D37"/>
    <mergeCell ref="E37:F37"/>
    <mergeCell ref="D39:D40"/>
    <mergeCell ref="F39:F40"/>
    <mergeCell ref="H39:H40"/>
    <mergeCell ref="J39:J40"/>
    <mergeCell ref="A37:A38"/>
    <mergeCell ref="B37:B38"/>
    <mergeCell ref="A43:A44"/>
    <mergeCell ref="D43:D44"/>
    <mergeCell ref="F43:F44"/>
    <mergeCell ref="H43:H44"/>
    <mergeCell ref="J43:J44"/>
    <mergeCell ref="G37:H37"/>
    <mergeCell ref="I37:J37"/>
  </mergeCells>
  <phoneticPr fontId="1" type="noConversion"/>
  <printOptions horizontalCentered="1"/>
  <pageMargins left="0.59055118110236227" right="0.35433070866141736" top="0.78740157480314965" bottom="0.78740157480314965" header="0.51181102362204722" footer="0.51181102362204722"/>
  <pageSetup paperSize="9" scale="76" firstPageNumber="7" orientation="portrait" useFirstPageNumber="1" r:id="rId1"/>
  <headerFooter>
    <oddFooter>&amp;C&amp;"바탕,굵게"- 9 -</oddFooter>
  </headerFooter>
  <ignoredErrors>
    <ignoredError sqref="G10 E10 C15:E15 D14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47E2-BCF4-4FF9-8DB1-77682A71C9DB}">
  <sheetPr>
    <pageSetUpPr fitToPage="1"/>
  </sheetPr>
  <dimension ref="A1:X49"/>
  <sheetViews>
    <sheetView view="pageBreakPreview" topLeftCell="A13" zoomScaleNormal="100" zoomScaleSheetLayoutView="100" workbookViewId="0">
      <selection activeCell="E23" sqref="E23"/>
    </sheetView>
  </sheetViews>
  <sheetFormatPr defaultRowHeight="17" x14ac:dyDescent="0.45"/>
  <cols>
    <col min="1" max="1" width="8.6640625" style="101"/>
    <col min="2" max="4" width="12.58203125" style="101" customWidth="1"/>
    <col min="5" max="5" width="15.58203125" style="101" customWidth="1"/>
    <col min="6" max="6" width="8.6640625" style="101"/>
    <col min="7" max="9" width="12.58203125" style="101" customWidth="1"/>
    <col min="10" max="10" width="15.58203125" style="101" customWidth="1"/>
    <col min="11" max="11" width="11.83203125" style="102" bestFit="1" customWidth="1"/>
    <col min="12" max="12" width="8.58203125" style="101" bestFit="1" customWidth="1"/>
    <col min="13" max="13" width="11" style="101" bestFit="1" customWidth="1"/>
    <col min="14" max="14" width="7.08203125" style="101" bestFit="1" customWidth="1"/>
    <col min="15" max="15" width="11" style="101" bestFit="1" customWidth="1"/>
    <col min="16" max="16" width="8.6640625" style="101"/>
    <col min="17" max="17" width="8.58203125" style="101" bestFit="1" customWidth="1"/>
    <col min="18" max="18" width="11" style="101" bestFit="1" customWidth="1"/>
    <col min="19" max="19" width="7.08203125" style="101" bestFit="1" customWidth="1"/>
    <col min="20" max="20" width="11" style="101" bestFit="1" customWidth="1"/>
    <col min="21" max="23" width="8.6640625" style="101"/>
    <col min="24" max="24" width="10.83203125" style="101" bestFit="1" customWidth="1"/>
    <col min="25" max="16384" width="8.6640625" style="101"/>
  </cols>
  <sheetData>
    <row r="1" spans="1:24" s="114" customFormat="1" ht="21" x14ac:dyDescent="0.45">
      <c r="A1" s="114" t="s">
        <v>108</v>
      </c>
      <c r="K1" s="140" t="s">
        <v>72</v>
      </c>
    </row>
    <row r="3" spans="1:24" ht="20.149999999999999" customHeight="1" x14ac:dyDescent="0.45">
      <c r="B3" s="101" t="s">
        <v>49</v>
      </c>
      <c r="G3" s="101" t="s">
        <v>49</v>
      </c>
      <c r="J3" s="163"/>
      <c r="X3" s="165"/>
    </row>
    <row r="4" spans="1:24" ht="20.149999999999999" customHeight="1" x14ac:dyDescent="0.45">
      <c r="D4" s="101" t="s">
        <v>79</v>
      </c>
      <c r="E4" s="164"/>
      <c r="I4" s="101" t="s">
        <v>80</v>
      </c>
      <c r="J4" s="162"/>
      <c r="O4" s="165"/>
      <c r="X4" s="165"/>
    </row>
    <row r="5" spans="1:24" s="103" customFormat="1" ht="20.149999999999999" customHeight="1" x14ac:dyDescent="0.45">
      <c r="E5" s="104"/>
      <c r="J5" s="104"/>
      <c r="K5" s="105"/>
      <c r="O5" s="166"/>
      <c r="X5" s="166"/>
    </row>
    <row r="6" spans="1:24" s="103" customFormat="1" ht="20.149999999999999" customHeight="1" x14ac:dyDescent="0.45">
      <c r="B6" s="335" t="s">
        <v>50</v>
      </c>
      <c r="C6" s="336"/>
      <c r="D6" s="106" t="s">
        <v>51</v>
      </c>
      <c r="E6" s="106" t="s">
        <v>52</v>
      </c>
      <c r="G6" s="335" t="s">
        <v>50</v>
      </c>
      <c r="H6" s="336"/>
      <c r="I6" s="106" t="s">
        <v>51</v>
      </c>
      <c r="J6" s="106" t="s">
        <v>52</v>
      </c>
      <c r="K6" s="105"/>
      <c r="O6" s="166"/>
    </row>
    <row r="7" spans="1:24" s="103" customFormat="1" ht="20.149999999999999" customHeight="1" x14ac:dyDescent="0.45">
      <c r="B7" s="337" t="s">
        <v>53</v>
      </c>
      <c r="C7" s="106" t="s">
        <v>54</v>
      </c>
      <c r="D7" s="106"/>
      <c r="E7" s="107"/>
      <c r="G7" s="337" t="s">
        <v>53</v>
      </c>
      <c r="H7" s="106" t="s">
        <v>54</v>
      </c>
      <c r="I7" s="106"/>
      <c r="J7" s="107"/>
      <c r="K7" s="105">
        <f>E7+J7</f>
        <v>0</v>
      </c>
      <c r="M7" s="105"/>
    </row>
    <row r="8" spans="1:24" s="103" customFormat="1" ht="20.149999999999999" customHeight="1" x14ac:dyDescent="0.45">
      <c r="B8" s="338"/>
      <c r="C8" s="106" t="s">
        <v>55</v>
      </c>
      <c r="D8" s="108">
        <v>15</v>
      </c>
      <c r="E8" s="109">
        <f>E9-E7</f>
        <v>19119</v>
      </c>
      <c r="F8" s="104"/>
      <c r="G8" s="338"/>
      <c r="H8" s="106" t="s">
        <v>55</v>
      </c>
      <c r="I8" s="108">
        <v>16</v>
      </c>
      <c r="J8" s="109">
        <f>J9-J7</f>
        <v>9348</v>
      </c>
      <c r="K8" s="105">
        <f>E8+J8</f>
        <v>28467</v>
      </c>
      <c r="M8" s="105"/>
    </row>
    <row r="9" spans="1:24" s="103" customFormat="1" ht="20.149999999999999" customHeight="1" x14ac:dyDescent="0.45">
      <c r="B9" s="339" t="s">
        <v>56</v>
      </c>
      <c r="C9" s="340"/>
      <c r="D9" s="110"/>
      <c r="E9" s="111">
        <v>19119</v>
      </c>
      <c r="G9" s="339" t="s">
        <v>56</v>
      </c>
      <c r="H9" s="340"/>
      <c r="I9" s="110"/>
      <c r="J9" s="112">
        <v>9348</v>
      </c>
      <c r="K9" s="105">
        <f>SUM(K7:K8)</f>
        <v>28467</v>
      </c>
      <c r="L9" s="341" t="s">
        <v>91</v>
      </c>
      <c r="M9" s="341"/>
      <c r="N9" s="341"/>
      <c r="O9" s="341"/>
      <c r="Q9" s="341"/>
      <c r="R9" s="341"/>
      <c r="S9" s="341"/>
      <c r="T9" s="341"/>
    </row>
    <row r="10" spans="1:24" s="103" customFormat="1" ht="20.149999999999999" customHeight="1" x14ac:dyDescent="0.45">
      <c r="E10" s="169"/>
      <c r="J10" s="169"/>
      <c r="K10" s="113"/>
      <c r="L10" s="341" t="s">
        <v>79</v>
      </c>
      <c r="M10" s="341"/>
      <c r="N10" s="341" t="s">
        <v>90</v>
      </c>
      <c r="O10" s="341"/>
      <c r="Q10" s="341"/>
      <c r="R10" s="341"/>
      <c r="S10" s="341"/>
      <c r="T10" s="341"/>
    </row>
    <row r="11" spans="1:24" s="103" customFormat="1" ht="20.149999999999999" customHeight="1" x14ac:dyDescent="0.45">
      <c r="E11" s="104"/>
      <c r="J11" s="104"/>
      <c r="K11" s="105"/>
      <c r="M11" s="167"/>
      <c r="N11" s="103" t="s">
        <v>81</v>
      </c>
      <c r="O11" s="214">
        <v>5331580</v>
      </c>
      <c r="R11" s="167"/>
      <c r="T11" s="167"/>
    </row>
    <row r="12" spans="1:24" s="103" customFormat="1" ht="20.149999999999999" customHeight="1" x14ac:dyDescent="0.45">
      <c r="B12" s="335" t="s">
        <v>50</v>
      </c>
      <c r="C12" s="336"/>
      <c r="D12" s="106" t="s">
        <v>51</v>
      </c>
      <c r="E12" s="106" t="s">
        <v>52</v>
      </c>
      <c r="G12" s="335" t="s">
        <v>50</v>
      </c>
      <c r="H12" s="336"/>
      <c r="I12" s="106" t="s">
        <v>51</v>
      </c>
      <c r="J12" s="106" t="s">
        <v>52</v>
      </c>
      <c r="K12" s="105"/>
      <c r="L12" s="103" t="s">
        <v>82</v>
      </c>
      <c r="M12" s="214">
        <v>4525110</v>
      </c>
      <c r="N12" s="103" t="s">
        <v>102</v>
      </c>
      <c r="O12" s="214">
        <v>3576270</v>
      </c>
      <c r="R12" s="167"/>
      <c r="T12" s="167"/>
    </row>
    <row r="13" spans="1:24" s="103" customFormat="1" ht="20.149999999999999" customHeight="1" x14ac:dyDescent="0.45">
      <c r="B13" s="337" t="s">
        <v>57</v>
      </c>
      <c r="C13" s="106" t="s">
        <v>54</v>
      </c>
      <c r="D13" s="106"/>
      <c r="E13" s="107">
        <f>$M$27</f>
        <v>2179.1783333333333</v>
      </c>
      <c r="G13" s="337" t="s">
        <v>57</v>
      </c>
      <c r="H13" s="106" t="s">
        <v>54</v>
      </c>
      <c r="I13" s="106"/>
      <c r="J13" s="107">
        <f>O27</f>
        <v>2445.4491666666663</v>
      </c>
      <c r="K13" s="105">
        <f>E13+J13</f>
        <v>4624.6274999999996</v>
      </c>
      <c r="L13" s="103" t="s">
        <v>83</v>
      </c>
      <c r="M13" s="214">
        <v>3596800</v>
      </c>
      <c r="N13" s="103" t="s">
        <v>88</v>
      </c>
      <c r="O13" s="214">
        <v>3570020</v>
      </c>
      <c r="R13" s="167"/>
      <c r="T13" s="167"/>
    </row>
    <row r="14" spans="1:24" s="103" customFormat="1" ht="20.149999999999999" customHeight="1" x14ac:dyDescent="0.45">
      <c r="B14" s="338"/>
      <c r="C14" s="106" t="s">
        <v>55</v>
      </c>
      <c r="D14" s="108">
        <v>11</v>
      </c>
      <c r="E14" s="109">
        <f>E15-E13</f>
        <v>14486.821666666667</v>
      </c>
      <c r="G14" s="338"/>
      <c r="H14" s="106" t="s">
        <v>55</v>
      </c>
      <c r="I14" s="108">
        <v>12</v>
      </c>
      <c r="J14" s="109">
        <f>J15-J13</f>
        <v>4070.5508333333337</v>
      </c>
      <c r="K14" s="183">
        <f>E14+J14</f>
        <v>18557.372500000001</v>
      </c>
      <c r="M14" s="167"/>
      <c r="N14" s="103" t="s">
        <v>89</v>
      </c>
      <c r="O14" s="214">
        <v>3515310</v>
      </c>
      <c r="R14" s="167"/>
      <c r="T14" s="167"/>
    </row>
    <row r="15" spans="1:24" s="103" customFormat="1" ht="20.149999999999999" customHeight="1" x14ac:dyDescent="0.45">
      <c r="B15" s="339" t="s">
        <v>56</v>
      </c>
      <c r="C15" s="340"/>
      <c r="D15" s="110"/>
      <c r="E15" s="112">
        <v>16666</v>
      </c>
      <c r="G15" s="339" t="s">
        <v>56</v>
      </c>
      <c r="H15" s="340"/>
      <c r="I15" s="110"/>
      <c r="J15" s="112">
        <v>6516</v>
      </c>
      <c r="K15" s="105">
        <f>SUM(K13:K14)</f>
        <v>23182</v>
      </c>
      <c r="L15" s="209"/>
      <c r="M15" s="167"/>
      <c r="N15" s="103" t="s">
        <v>87</v>
      </c>
      <c r="O15" s="214">
        <v>3057730</v>
      </c>
      <c r="R15" s="167"/>
      <c r="T15" s="167"/>
    </row>
    <row r="16" spans="1:24" s="103" customFormat="1" ht="20.149999999999999" customHeight="1" thickBot="1" x14ac:dyDescent="0.5">
      <c r="K16" s="105"/>
      <c r="M16" s="168"/>
      <c r="O16" s="167"/>
      <c r="R16" s="167"/>
      <c r="T16" s="167"/>
    </row>
    <row r="17" spans="1:20" s="103" customFormat="1" ht="20.149999999999999" customHeight="1" thickTop="1" x14ac:dyDescent="0.45">
      <c r="A17" s="197"/>
      <c r="B17" s="198"/>
      <c r="C17" s="198"/>
      <c r="D17" s="198"/>
      <c r="E17" s="198"/>
      <c r="F17" s="198"/>
      <c r="G17" s="198"/>
      <c r="H17" s="198"/>
      <c r="I17" s="198"/>
      <c r="J17" s="198"/>
      <c r="K17" s="199"/>
      <c r="L17" s="103" t="s">
        <v>85</v>
      </c>
      <c r="M17" s="216">
        <v>3664020</v>
      </c>
      <c r="O17" s="167"/>
      <c r="R17" s="167"/>
      <c r="T17" s="167"/>
    </row>
    <row r="18" spans="1:20" s="103" customFormat="1" ht="20.149999999999999" customHeight="1" x14ac:dyDescent="0.45">
      <c r="A18" s="200"/>
      <c r="B18" s="101" t="s">
        <v>58</v>
      </c>
      <c r="C18" s="101"/>
      <c r="D18" s="101"/>
      <c r="E18" s="101"/>
      <c r="F18" s="101"/>
      <c r="G18" s="101" t="s">
        <v>58</v>
      </c>
      <c r="H18" s="101"/>
      <c r="I18" s="101"/>
      <c r="J18" s="101"/>
      <c r="K18" s="201"/>
      <c r="L18" s="103" t="s">
        <v>86</v>
      </c>
      <c r="M18" s="216">
        <v>4593770</v>
      </c>
      <c r="O18" s="167"/>
      <c r="R18" s="167"/>
      <c r="T18" s="167"/>
    </row>
    <row r="19" spans="1:20" s="103" customFormat="1" ht="20.149999999999999" customHeight="1" x14ac:dyDescent="0.45">
      <c r="A19" s="200"/>
      <c r="B19" s="101"/>
      <c r="C19" s="101"/>
      <c r="D19" s="101" t="s">
        <v>79</v>
      </c>
      <c r="E19" s="101"/>
      <c r="F19" s="101"/>
      <c r="G19" s="101"/>
      <c r="H19" s="101"/>
      <c r="I19" s="101" t="s">
        <v>80</v>
      </c>
      <c r="J19" s="101"/>
      <c r="K19" s="201"/>
      <c r="L19" s="103" t="s">
        <v>84</v>
      </c>
      <c r="M19" s="216">
        <v>3724850</v>
      </c>
      <c r="O19" s="167"/>
      <c r="R19" s="167"/>
      <c r="T19" s="167"/>
    </row>
    <row r="20" spans="1:20" s="103" customFormat="1" ht="20.149999999999999" customHeight="1" x14ac:dyDescent="0.45">
      <c r="A20" s="200"/>
      <c r="E20" s="104"/>
      <c r="J20" s="104"/>
      <c r="K20" s="201"/>
      <c r="M20" s="167"/>
      <c r="N20" s="103" t="s">
        <v>105</v>
      </c>
      <c r="O20" s="214">
        <v>4190200</v>
      </c>
      <c r="R20" s="167"/>
      <c r="T20" s="167"/>
    </row>
    <row r="21" spans="1:20" s="103" customFormat="1" ht="20.149999999999999" customHeight="1" x14ac:dyDescent="0.45">
      <c r="A21" s="200"/>
      <c r="B21" s="335" t="s">
        <v>50</v>
      </c>
      <c r="C21" s="336"/>
      <c r="D21" s="106" t="s">
        <v>51</v>
      </c>
      <c r="E21" s="106" t="s">
        <v>52</v>
      </c>
      <c r="G21" s="335" t="s">
        <v>50</v>
      </c>
      <c r="H21" s="336"/>
      <c r="I21" s="106" t="s">
        <v>51</v>
      </c>
      <c r="J21" s="106" t="s">
        <v>52</v>
      </c>
      <c r="K21" s="201"/>
      <c r="L21" s="103" t="s">
        <v>104</v>
      </c>
      <c r="M21" s="214">
        <v>2848370</v>
      </c>
      <c r="N21" s="103" t="s">
        <v>106</v>
      </c>
      <c r="O21" s="214">
        <v>3046550</v>
      </c>
      <c r="R21" s="167"/>
      <c r="T21" s="167"/>
    </row>
    <row r="22" spans="1:20" s="103" customFormat="1" ht="20.149999999999999" customHeight="1" x14ac:dyDescent="0.45">
      <c r="A22" s="200"/>
      <c r="B22" s="337" t="s">
        <v>53</v>
      </c>
      <c r="C22" s="106" t="s">
        <v>54</v>
      </c>
      <c r="D22" s="106"/>
      <c r="E22" s="107">
        <f>$E$7</f>
        <v>0</v>
      </c>
      <c r="G22" s="337" t="s">
        <v>53</v>
      </c>
      <c r="H22" s="106" t="s">
        <v>54</v>
      </c>
      <c r="I22" s="106"/>
      <c r="J22" s="107">
        <f>$J$7</f>
        <v>0</v>
      </c>
      <c r="K22" s="201">
        <f>E22+J22</f>
        <v>0</v>
      </c>
      <c r="L22" s="103" t="s">
        <v>107</v>
      </c>
      <c r="M22" s="214">
        <v>3197220</v>
      </c>
      <c r="N22" s="103" t="s">
        <v>103</v>
      </c>
      <c r="O22" s="215">
        <v>3057730</v>
      </c>
      <c r="Q22" s="104"/>
      <c r="R22" s="167"/>
      <c r="S22" s="187"/>
      <c r="T22" s="186"/>
    </row>
    <row r="23" spans="1:20" s="103" customFormat="1" ht="20.149999999999999" customHeight="1" x14ac:dyDescent="0.45">
      <c r="A23" s="200"/>
      <c r="B23" s="338"/>
      <c r="C23" s="106" t="s">
        <v>55</v>
      </c>
      <c r="D23" s="108">
        <v>18</v>
      </c>
      <c r="E23" s="207">
        <f>E24-E22</f>
        <v>19118</v>
      </c>
      <c r="G23" s="338"/>
      <c r="H23" s="106" t="s">
        <v>55</v>
      </c>
      <c r="I23" s="108">
        <v>19</v>
      </c>
      <c r="J23" s="207">
        <f>J24-J22</f>
        <v>9348</v>
      </c>
      <c r="K23" s="208">
        <f>E23+J23</f>
        <v>28466</v>
      </c>
      <c r="O23" s="167"/>
      <c r="T23" s="167"/>
    </row>
    <row r="24" spans="1:20" s="103" customFormat="1" ht="20.149999999999999" customHeight="1" x14ac:dyDescent="0.45">
      <c r="A24" s="200"/>
      <c r="B24" s="339" t="s">
        <v>56</v>
      </c>
      <c r="C24" s="340"/>
      <c r="D24" s="110"/>
      <c r="E24" s="217">
        <v>19118</v>
      </c>
      <c r="G24" s="339" t="s">
        <v>56</v>
      </c>
      <c r="H24" s="340"/>
      <c r="I24" s="110"/>
      <c r="J24" s="217">
        <v>9348</v>
      </c>
      <c r="K24" s="201">
        <f>SUM(K22:K23)</f>
        <v>28466</v>
      </c>
      <c r="M24" s="167"/>
      <c r="O24" s="167"/>
      <c r="R24" s="167"/>
      <c r="T24" s="167"/>
    </row>
    <row r="25" spans="1:20" s="103" customFormat="1" ht="20.149999999999999" customHeight="1" x14ac:dyDescent="0.45">
      <c r="A25" s="200"/>
      <c r="E25" s="169"/>
      <c r="J25" s="169"/>
      <c r="K25" s="201"/>
      <c r="M25" s="167">
        <f>SUM(M11:M24)</f>
        <v>26150140</v>
      </c>
      <c r="O25" s="167">
        <f>SUM(O11:O24)</f>
        <v>29345390</v>
      </c>
      <c r="R25" s="167"/>
      <c r="T25" s="167"/>
    </row>
    <row r="26" spans="1:20" s="103" customFormat="1" ht="20.149999999999999" customHeight="1" x14ac:dyDescent="0.45">
      <c r="A26" s="200"/>
      <c r="E26" s="104"/>
      <c r="J26" s="104"/>
      <c r="K26" s="201"/>
      <c r="L26" s="103">
        <v>12</v>
      </c>
      <c r="M26" s="167">
        <f>M25/$L$26</f>
        <v>2179178.3333333335</v>
      </c>
      <c r="O26" s="167">
        <f>O25/$L$26</f>
        <v>2445449.1666666665</v>
      </c>
      <c r="R26" s="167"/>
      <c r="T26" s="167"/>
    </row>
    <row r="27" spans="1:20" s="103" customFormat="1" ht="20.149999999999999" customHeight="1" x14ac:dyDescent="0.45">
      <c r="A27" s="200"/>
      <c r="B27" s="335" t="s">
        <v>50</v>
      </c>
      <c r="C27" s="336"/>
      <c r="D27" s="106" t="s">
        <v>51</v>
      </c>
      <c r="E27" s="106" t="s">
        <v>52</v>
      </c>
      <c r="G27" s="335" t="s">
        <v>50</v>
      </c>
      <c r="H27" s="336"/>
      <c r="I27" s="106" t="s">
        <v>51</v>
      </c>
      <c r="J27" s="106" t="s">
        <v>59</v>
      </c>
      <c r="K27" s="201"/>
      <c r="M27" s="167">
        <f>M26/1000</f>
        <v>2179.1783333333333</v>
      </c>
      <c r="O27" s="167">
        <f>O26/1000</f>
        <v>2445.4491666666663</v>
      </c>
    </row>
    <row r="28" spans="1:20" s="103" customFormat="1" ht="20.149999999999999" customHeight="1" x14ac:dyDescent="0.45">
      <c r="A28" s="200"/>
      <c r="B28" s="337" t="s">
        <v>57</v>
      </c>
      <c r="C28" s="106" t="s">
        <v>54</v>
      </c>
      <c r="D28" s="106"/>
      <c r="E28" s="107">
        <f>$E$13</f>
        <v>2179.1783333333333</v>
      </c>
      <c r="G28" s="337" t="s">
        <v>57</v>
      </c>
      <c r="H28" s="106" t="s">
        <v>54</v>
      </c>
      <c r="I28" s="106"/>
      <c r="J28" s="107">
        <f>$J$13</f>
        <v>2445.4491666666663</v>
      </c>
      <c r="K28" s="201">
        <f>J28+E28</f>
        <v>4624.6274999999996</v>
      </c>
      <c r="R28" s="167"/>
      <c r="T28" s="167"/>
    </row>
    <row r="29" spans="1:20" s="103" customFormat="1" ht="20.149999999999999" customHeight="1" x14ac:dyDescent="0.45">
      <c r="A29" s="200"/>
      <c r="B29" s="338"/>
      <c r="C29" s="106" t="s">
        <v>55</v>
      </c>
      <c r="D29" s="108">
        <v>20</v>
      </c>
      <c r="E29" s="109">
        <f>E30-E28</f>
        <v>-2179.1783333333333</v>
      </c>
      <c r="F29" s="196"/>
      <c r="G29" s="338"/>
      <c r="H29" s="106" t="s">
        <v>55</v>
      </c>
      <c r="I29" s="108">
        <v>21</v>
      </c>
      <c r="J29" s="109">
        <f>J30-J28</f>
        <v>-2445.4491666666663</v>
      </c>
      <c r="K29" s="201">
        <f>J29+E29</f>
        <v>-4624.6274999999996</v>
      </c>
      <c r="M29" s="167"/>
      <c r="R29" s="167"/>
      <c r="T29" s="167"/>
    </row>
    <row r="30" spans="1:20" s="103" customFormat="1" ht="20.149999999999999" customHeight="1" x14ac:dyDescent="0.45">
      <c r="A30" s="200"/>
      <c r="B30" s="339" t="s">
        <v>56</v>
      </c>
      <c r="C30" s="340"/>
      <c r="D30" s="110"/>
      <c r="E30" s="112"/>
      <c r="F30" s="104"/>
      <c r="G30" s="339" t="s">
        <v>56</v>
      </c>
      <c r="H30" s="340"/>
      <c r="I30" s="110"/>
      <c r="J30" s="112"/>
      <c r="K30" s="201">
        <f>SUM(K28:K29)</f>
        <v>0</v>
      </c>
    </row>
    <row r="31" spans="1:20" s="103" customFormat="1" ht="20.149999999999999" customHeight="1" thickBot="1" x14ac:dyDescent="0.5">
      <c r="A31" s="202"/>
      <c r="B31" s="203"/>
      <c r="C31" s="203"/>
      <c r="D31" s="203"/>
      <c r="E31" s="203"/>
      <c r="F31" s="203"/>
      <c r="G31" s="203"/>
      <c r="H31" s="203"/>
      <c r="I31" s="203"/>
      <c r="J31" s="203"/>
      <c r="K31" s="204"/>
    </row>
    <row r="32" spans="1:20" s="103" customFormat="1" ht="20.149999999999999" customHeight="1" thickTop="1" x14ac:dyDescent="0.45">
      <c r="E32" s="104"/>
      <c r="F32" s="104"/>
      <c r="G32" s="104"/>
      <c r="H32" s="104"/>
      <c r="I32" s="104"/>
      <c r="J32" s="113"/>
      <c r="K32" s="105"/>
    </row>
    <row r="33" spans="2:11" s="103" customFormat="1" ht="20.149999999999999" customHeight="1" x14ac:dyDescent="0.45">
      <c r="E33" s="104"/>
      <c r="F33" s="104"/>
      <c r="G33" s="104"/>
      <c r="H33" s="104"/>
      <c r="I33" s="104"/>
      <c r="J33" s="105"/>
      <c r="K33" s="105"/>
    </row>
    <row r="34" spans="2:11" s="103" customFormat="1" ht="20.149999999999999" customHeight="1" x14ac:dyDescent="0.45">
      <c r="E34" s="104"/>
      <c r="F34" s="104"/>
      <c r="G34" s="104"/>
      <c r="H34" s="104"/>
      <c r="I34" s="104"/>
      <c r="J34" s="105"/>
      <c r="K34" s="105"/>
    </row>
    <row r="35" spans="2:11" s="103" customFormat="1" ht="20.149999999999999" customHeight="1" x14ac:dyDescent="0.45">
      <c r="B35" s="341" t="s">
        <v>60</v>
      </c>
      <c r="C35" s="341"/>
      <c r="D35" s="341"/>
      <c r="E35" s="341"/>
      <c r="F35" s="341"/>
      <c r="G35" s="341"/>
      <c r="H35" s="341"/>
      <c r="I35" s="341"/>
      <c r="J35" s="341"/>
      <c r="K35" s="105"/>
    </row>
    <row r="36" spans="2:11" s="103" customFormat="1" x14ac:dyDescent="0.45">
      <c r="C36" s="105"/>
      <c r="D36" s="105"/>
      <c r="E36" s="105"/>
      <c r="F36" s="105"/>
      <c r="G36" s="105"/>
      <c r="H36" s="105"/>
      <c r="I36" s="105"/>
      <c r="K36" s="105"/>
    </row>
    <row r="37" spans="2:11" s="103" customFormat="1" x14ac:dyDescent="0.45">
      <c r="C37" s="105"/>
      <c r="D37" s="105"/>
      <c r="E37" s="105"/>
      <c r="F37" s="105"/>
      <c r="G37" s="105"/>
      <c r="H37" s="105"/>
      <c r="I37" s="105"/>
      <c r="K37" s="105"/>
    </row>
    <row r="38" spans="2:11" x14ac:dyDescent="0.45">
      <c r="C38" s="102"/>
      <c r="D38" s="102"/>
      <c r="E38" s="102"/>
      <c r="F38" s="102"/>
      <c r="G38" s="102"/>
      <c r="H38" s="102"/>
      <c r="I38" s="102"/>
    </row>
    <row r="39" spans="2:11" x14ac:dyDescent="0.45">
      <c r="C39" s="102"/>
      <c r="D39" s="102"/>
      <c r="E39" s="102"/>
      <c r="F39" s="102"/>
      <c r="G39" s="102"/>
      <c r="H39" s="102"/>
      <c r="I39" s="102"/>
    </row>
    <row r="40" spans="2:11" x14ac:dyDescent="0.45">
      <c r="C40" s="102"/>
      <c r="D40" s="102"/>
      <c r="E40" s="102"/>
      <c r="F40" s="102"/>
      <c r="G40" s="102"/>
      <c r="H40" s="102"/>
      <c r="I40" s="102"/>
    </row>
    <row r="41" spans="2:11" x14ac:dyDescent="0.45">
      <c r="C41" s="102"/>
      <c r="D41" s="102"/>
      <c r="E41" s="102"/>
      <c r="F41" s="102"/>
      <c r="G41" s="102"/>
      <c r="H41" s="102"/>
      <c r="I41" s="102"/>
    </row>
    <row r="42" spans="2:11" x14ac:dyDescent="0.45">
      <c r="C42" s="102"/>
      <c r="D42" s="102"/>
      <c r="E42" s="102"/>
      <c r="F42" s="102"/>
      <c r="G42" s="102"/>
      <c r="H42" s="102"/>
      <c r="I42" s="102"/>
    </row>
    <row r="43" spans="2:11" x14ac:dyDescent="0.45">
      <c r="C43" s="102"/>
      <c r="D43" s="102"/>
      <c r="E43" s="102"/>
      <c r="F43" s="102"/>
      <c r="G43" s="102"/>
      <c r="H43" s="102"/>
      <c r="I43" s="102"/>
    </row>
    <row r="44" spans="2:11" x14ac:dyDescent="0.45">
      <c r="C44" s="102"/>
      <c r="D44" s="102"/>
      <c r="E44" s="102"/>
      <c r="F44" s="102"/>
      <c r="G44" s="102"/>
      <c r="H44" s="102"/>
      <c r="I44" s="102"/>
    </row>
    <row r="45" spans="2:11" x14ac:dyDescent="0.45">
      <c r="C45" s="102"/>
      <c r="D45" s="102"/>
      <c r="E45" s="102"/>
      <c r="F45" s="102"/>
      <c r="G45" s="102"/>
      <c r="H45" s="102"/>
      <c r="I45" s="102"/>
    </row>
    <row r="46" spans="2:11" x14ac:dyDescent="0.45">
      <c r="C46" s="102"/>
      <c r="D46" s="102"/>
      <c r="E46" s="102"/>
      <c r="F46" s="102"/>
      <c r="G46" s="102"/>
      <c r="H46" s="102"/>
      <c r="I46" s="102"/>
    </row>
    <row r="47" spans="2:11" x14ac:dyDescent="0.45">
      <c r="C47" s="102"/>
      <c r="D47" s="102"/>
      <c r="E47" s="102"/>
      <c r="F47" s="102"/>
      <c r="G47" s="102"/>
      <c r="H47" s="102"/>
      <c r="I47" s="102"/>
    </row>
    <row r="48" spans="2:11" x14ac:dyDescent="0.45">
      <c r="C48" s="102"/>
      <c r="D48" s="102"/>
      <c r="E48" s="102"/>
      <c r="F48" s="102"/>
      <c r="G48" s="102"/>
      <c r="H48" s="102"/>
      <c r="I48" s="102"/>
    </row>
    <row r="49" spans="3:9" x14ac:dyDescent="0.45">
      <c r="C49" s="102"/>
      <c r="D49" s="102"/>
      <c r="E49" s="102"/>
      <c r="F49" s="102"/>
      <c r="G49" s="102"/>
      <c r="H49" s="102"/>
      <c r="I49" s="102"/>
    </row>
  </sheetData>
  <mergeCells count="31">
    <mergeCell ref="L10:M10"/>
    <mergeCell ref="N10:O10"/>
    <mergeCell ref="L9:O9"/>
    <mergeCell ref="Q9:T9"/>
    <mergeCell ref="Q10:R10"/>
    <mergeCell ref="S10:T10"/>
    <mergeCell ref="B35:J35"/>
    <mergeCell ref="B27:C27"/>
    <mergeCell ref="G27:H27"/>
    <mergeCell ref="B28:B29"/>
    <mergeCell ref="G28:G29"/>
    <mergeCell ref="B30:C30"/>
    <mergeCell ref="G30:H30"/>
    <mergeCell ref="B21:C21"/>
    <mergeCell ref="G21:H21"/>
    <mergeCell ref="B22:B23"/>
    <mergeCell ref="G22:G23"/>
    <mergeCell ref="B24:C24"/>
    <mergeCell ref="G24:H24"/>
    <mergeCell ref="B12:C12"/>
    <mergeCell ref="G12:H12"/>
    <mergeCell ref="B13:B14"/>
    <mergeCell ref="G13:G14"/>
    <mergeCell ref="B15:C15"/>
    <mergeCell ref="G15:H15"/>
    <mergeCell ref="B6:C6"/>
    <mergeCell ref="G6:H6"/>
    <mergeCell ref="B7:B8"/>
    <mergeCell ref="G7:G8"/>
    <mergeCell ref="B9:C9"/>
    <mergeCell ref="G9:H9"/>
  </mergeCells>
  <phoneticPr fontId="1" type="noConversion"/>
  <printOptions horizontalCentered="1"/>
  <pageMargins left="0" right="0" top="0.74803149606299213" bottom="0.74803149606299213" header="0.31496062992125984" footer="0.31496062992125984"/>
  <pageSetup paperSize="9" scale="69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6926-C640-4C51-852F-70A3260B5701}">
  <dimension ref="A1:O30"/>
  <sheetViews>
    <sheetView tabSelected="1" view="pageBreakPreview" zoomScale="115" zoomScaleNormal="100" zoomScaleSheetLayoutView="115" workbookViewId="0">
      <selection activeCell="C8" sqref="C8"/>
    </sheetView>
  </sheetViews>
  <sheetFormatPr defaultColWidth="9" defaultRowHeight="17" x14ac:dyDescent="0.45"/>
  <cols>
    <col min="1" max="1" width="11.25" style="115" bestFit="1" customWidth="1"/>
    <col min="2" max="5" width="12.58203125" style="119" customWidth="1"/>
    <col min="6" max="6" width="14.25" style="129" customWidth="1"/>
    <col min="7" max="7" width="11.83203125" style="119" customWidth="1"/>
    <col min="8" max="8" width="11.1640625" style="119" customWidth="1"/>
    <col min="9" max="16384" width="9" style="119"/>
  </cols>
  <sheetData>
    <row r="1" spans="1:15" s="142" customFormat="1" ht="21" x14ac:dyDescent="0.45">
      <c r="A1" s="141" t="s">
        <v>109</v>
      </c>
      <c r="F1" s="143" t="s">
        <v>73</v>
      </c>
    </row>
    <row r="2" spans="1:15" x14ac:dyDescent="0.45">
      <c r="C2" s="172">
        <f>$E$2-D2</f>
        <v>0.51672279510356889</v>
      </c>
      <c r="D2" s="177">
        <f>$F$2/$G$2</f>
        <v>0.48327720489643106</v>
      </c>
      <c r="E2" s="172">
        <v>1</v>
      </c>
      <c r="F2" s="129">
        <v>574157</v>
      </c>
      <c r="G2" s="129">
        <v>1188049</v>
      </c>
      <c r="K2" s="115"/>
      <c r="M2" s="172"/>
      <c r="N2" s="172"/>
      <c r="O2" s="172"/>
    </row>
    <row r="3" spans="1:15" ht="20.149999999999999" customHeight="1" x14ac:dyDescent="0.45">
      <c r="A3" s="115" t="s">
        <v>112</v>
      </c>
      <c r="B3" s="116"/>
      <c r="C3" s="117" t="s">
        <v>76</v>
      </c>
      <c r="D3" s="117" t="s">
        <v>77</v>
      </c>
      <c r="E3" s="118" t="s">
        <v>63</v>
      </c>
      <c r="F3" s="120"/>
      <c r="G3" s="121"/>
      <c r="K3" s="115"/>
    </row>
    <row r="4" spans="1:15" ht="20.149999999999999" customHeight="1" x14ac:dyDescent="0.45">
      <c r="B4" s="122" t="s">
        <v>64</v>
      </c>
      <c r="C4" s="174">
        <f>$E$4*C2</f>
        <v>22.735802984557033</v>
      </c>
      <c r="D4" s="174">
        <f>$E$4*D2</f>
        <v>21.264197015442967</v>
      </c>
      <c r="E4" s="123">
        <f>41+3</f>
        <v>44</v>
      </c>
      <c r="F4" s="124" t="s">
        <v>94</v>
      </c>
      <c r="H4" s="125" t="s">
        <v>96</v>
      </c>
      <c r="K4" s="115"/>
      <c r="M4" s="178"/>
      <c r="N4" s="178"/>
      <c r="O4" s="115"/>
    </row>
    <row r="5" spans="1:15" ht="20.149999999999999" customHeight="1" x14ac:dyDescent="0.45">
      <c r="B5" s="122" t="s">
        <v>65</v>
      </c>
      <c r="C5" s="174">
        <f>$E$5*C7</f>
        <v>33.004497198466531</v>
      </c>
      <c r="D5" s="174">
        <f>$E$5*D7</f>
        <v>24.995502801533469</v>
      </c>
      <c r="E5" s="123">
        <f>45+13</f>
        <v>58</v>
      </c>
      <c r="F5" s="124" t="s">
        <v>94</v>
      </c>
      <c r="G5" s="125"/>
      <c r="H5" s="125" t="s">
        <v>96</v>
      </c>
      <c r="K5" s="115"/>
      <c r="M5" s="178"/>
      <c r="N5" s="178"/>
      <c r="O5" s="115"/>
    </row>
    <row r="6" spans="1:15" ht="20.149999999999999" customHeight="1" x14ac:dyDescent="0.45">
      <c r="B6" s="126"/>
      <c r="C6" s="173">
        <f>SUM(C4:C5)</f>
        <v>55.740300183023564</v>
      </c>
      <c r="D6" s="173">
        <f>SUM(D4:D5)</f>
        <v>46.259699816976436</v>
      </c>
      <c r="E6" s="127">
        <f>SUM(E4:E5)</f>
        <v>102</v>
      </c>
      <c r="F6" s="124" t="s">
        <v>66</v>
      </c>
      <c r="G6" s="125"/>
      <c r="K6" s="115"/>
      <c r="M6" s="179"/>
      <c r="N6" s="179"/>
      <c r="O6" s="115"/>
    </row>
    <row r="7" spans="1:15" ht="20.149999999999999" customHeight="1" x14ac:dyDescent="0.45">
      <c r="C7" s="172">
        <f>$E$2-D7</f>
        <v>0.56904305514597464</v>
      </c>
      <c r="D7" s="177">
        <f>$F$7/$G$7</f>
        <v>0.43095694485402536</v>
      </c>
      <c r="F7" s="192">
        <v>46764</v>
      </c>
      <c r="G7" s="192">
        <v>108512</v>
      </c>
      <c r="K7" s="115"/>
      <c r="M7" s="172"/>
      <c r="N7" s="172"/>
    </row>
    <row r="8" spans="1:15" ht="20.149999999999999" customHeight="1" x14ac:dyDescent="0.45">
      <c r="C8" s="172"/>
      <c r="D8" s="172" t="s">
        <v>101</v>
      </c>
      <c r="E8" s="172"/>
      <c r="F8" s="218"/>
      <c r="G8" s="218"/>
      <c r="H8" s="218"/>
    </row>
    <row r="9" spans="1:15" ht="20.149999999999999" customHeight="1" x14ac:dyDescent="0.45">
      <c r="F9" s="194"/>
      <c r="G9" s="195"/>
    </row>
    <row r="10" spans="1:15" ht="20.149999999999999" customHeight="1" x14ac:dyDescent="0.45">
      <c r="C10" s="178"/>
      <c r="D10" s="178"/>
      <c r="E10" s="115"/>
      <c r="F10" s="219"/>
      <c r="G10" s="219"/>
      <c r="H10" s="195"/>
    </row>
    <row r="11" spans="1:15" ht="20.149999999999999" customHeight="1" x14ac:dyDescent="0.45">
      <c r="C11" s="178"/>
      <c r="D11" s="178"/>
      <c r="E11" s="115"/>
      <c r="F11" s="219"/>
      <c r="G11" s="219"/>
      <c r="H11" s="195"/>
      <c r="K11" s="115"/>
    </row>
    <row r="12" spans="1:15" ht="20.149999999999999" customHeight="1" x14ac:dyDescent="0.45">
      <c r="C12" s="179"/>
      <c r="D12" s="179"/>
      <c r="E12" s="115"/>
      <c r="F12" s="193"/>
      <c r="G12" s="193"/>
      <c r="O12" s="115"/>
    </row>
    <row r="13" spans="1:15" ht="20.149999999999999" customHeight="1" x14ac:dyDescent="0.45">
      <c r="C13" s="172"/>
      <c r="D13" s="172"/>
      <c r="F13" s="193"/>
      <c r="O13" s="115"/>
    </row>
    <row r="14" spans="1:15" ht="20.149999999999999" customHeight="1" x14ac:dyDescent="0.45">
      <c r="F14" s="192"/>
      <c r="M14" s="115"/>
      <c r="N14" s="115"/>
      <c r="O14" s="115"/>
    </row>
    <row r="15" spans="1:15" ht="20.149999999999999" customHeight="1" x14ac:dyDescent="0.45">
      <c r="F15" s="129" t="s">
        <v>67</v>
      </c>
      <c r="G15" s="119" t="s">
        <v>68</v>
      </c>
    </row>
    <row r="16" spans="1:15" ht="20.149999999999999" customHeight="1" x14ac:dyDescent="0.45">
      <c r="A16" s="182" t="s">
        <v>69</v>
      </c>
      <c r="B16" s="119" t="s">
        <v>76</v>
      </c>
      <c r="C16" s="131">
        <f>$E$18*C7</f>
        <v>8772.0832166027722</v>
      </c>
      <c r="E16" s="131">
        <f>SUM(F16:G16)</f>
        <v>11465.5</v>
      </c>
      <c r="F16" s="129">
        <f>808+194+734.5+9</f>
        <v>1745.5</v>
      </c>
      <c r="G16" s="130">
        <f>7448+2272</f>
        <v>9720</v>
      </c>
      <c r="H16" s="119" t="s">
        <v>61</v>
      </c>
      <c r="K16" s="130"/>
    </row>
    <row r="17" spans="1:13" ht="20.149999999999999" customHeight="1" x14ac:dyDescent="0.45">
      <c r="B17" s="176" t="s">
        <v>77</v>
      </c>
      <c r="C17" s="175">
        <f>$E$18*D7</f>
        <v>6643.4167833972278</v>
      </c>
      <c r="D17" s="176"/>
      <c r="E17" s="175">
        <f>SUM(F17:G17)</f>
        <v>3950</v>
      </c>
      <c r="F17" s="129">
        <f>482.5+586.5+72+1</f>
        <v>1142</v>
      </c>
      <c r="G17" s="130">
        <f>2176+632</f>
        <v>2808</v>
      </c>
      <c r="H17" s="119" t="s">
        <v>62</v>
      </c>
      <c r="K17" s="130"/>
    </row>
    <row r="18" spans="1:13" ht="20.149999999999999" customHeight="1" x14ac:dyDescent="0.45">
      <c r="B18" s="119" t="s">
        <v>63</v>
      </c>
      <c r="C18" s="131">
        <f>C16+C17</f>
        <v>15415.5</v>
      </c>
      <c r="E18" s="131">
        <f>E16+E17</f>
        <v>15415.5</v>
      </c>
      <c r="F18" s="132">
        <f>SUM(F16:F17)</f>
        <v>2887.5</v>
      </c>
      <c r="G18" s="130"/>
      <c r="H18" s="133"/>
      <c r="M18" s="133"/>
    </row>
    <row r="19" spans="1:13" ht="20.149999999999999" customHeight="1" x14ac:dyDescent="0.45">
      <c r="F19" s="134" t="s">
        <v>95</v>
      </c>
      <c r="G19" s="135" t="s">
        <v>67</v>
      </c>
      <c r="M19" s="180"/>
    </row>
    <row r="20" spans="1:13" ht="20.149999999999999" customHeight="1" x14ac:dyDescent="0.45">
      <c r="E20" s="119">
        <f>$E$5</f>
        <v>58</v>
      </c>
      <c r="F20" s="129">
        <f>(E20*8*26)*1.1</f>
        <v>13270.400000000001</v>
      </c>
      <c r="G20" s="136">
        <f>$F$18</f>
        <v>2887.5</v>
      </c>
      <c r="I20" s="130">
        <f>SUM(F20:G20)</f>
        <v>16157.900000000001</v>
      </c>
    </row>
    <row r="21" spans="1:13" ht="20.149999999999999" customHeight="1" x14ac:dyDescent="0.45">
      <c r="I21" s="137" t="s">
        <v>70</v>
      </c>
      <c r="M21" s="133"/>
    </row>
    <row r="22" spans="1:13" ht="20.149999999999999" customHeight="1" x14ac:dyDescent="0.45">
      <c r="A22" s="182" t="s">
        <v>71</v>
      </c>
      <c r="B22" s="119" t="s">
        <v>76</v>
      </c>
      <c r="C22" s="131">
        <f>$E$24*C7</f>
        <v>38192.656206871128</v>
      </c>
      <c r="E22" s="121">
        <f>(F22/2)/1000</f>
        <v>52057.364999999998</v>
      </c>
      <c r="F22" s="128">
        <v>104114730</v>
      </c>
      <c r="G22" s="130">
        <f>F22/2</f>
        <v>52057365</v>
      </c>
      <c r="H22" s="119" t="s">
        <v>61</v>
      </c>
      <c r="M22" s="133"/>
    </row>
    <row r="23" spans="1:13" ht="20.149999999999999" customHeight="1" x14ac:dyDescent="0.45">
      <c r="B23" s="176" t="s">
        <v>77</v>
      </c>
      <c r="C23" s="175">
        <f>$E$24*D7</f>
        <v>28924.683793128868</v>
      </c>
      <c r="D23" s="176"/>
      <c r="E23" s="175">
        <f>(F23/2)/1000</f>
        <v>15059.975</v>
      </c>
      <c r="F23" s="128">
        <v>30119950</v>
      </c>
      <c r="G23" s="130">
        <f>F23/2</f>
        <v>15059975</v>
      </c>
      <c r="H23" s="119" t="s">
        <v>62</v>
      </c>
    </row>
    <row r="24" spans="1:13" ht="20.149999999999999" customHeight="1" x14ac:dyDescent="0.45">
      <c r="B24" s="119" t="s">
        <v>63</v>
      </c>
      <c r="C24" s="131">
        <f>C22+C23</f>
        <v>67117.34</v>
      </c>
      <c r="E24" s="131">
        <f>E22+E23</f>
        <v>67117.34</v>
      </c>
      <c r="F24" s="128"/>
    </row>
    <row r="25" spans="1:13" x14ac:dyDescent="0.45">
      <c r="F25" s="128"/>
    </row>
    <row r="26" spans="1:13" x14ac:dyDescent="0.45">
      <c r="F26" s="128"/>
    </row>
    <row r="28" spans="1:13" x14ac:dyDescent="0.45">
      <c r="D28" s="129"/>
    </row>
    <row r="29" spans="1:13" x14ac:dyDescent="0.45">
      <c r="D29" s="129"/>
      <c r="F29" s="138"/>
    </row>
    <row r="30" spans="1:13" x14ac:dyDescent="0.45">
      <c r="F30" s="139"/>
    </row>
  </sheetData>
  <mergeCells count="3">
    <mergeCell ref="F8:H8"/>
    <mergeCell ref="F10:G10"/>
    <mergeCell ref="F11:G11"/>
  </mergeCells>
  <phoneticPr fontId="1" type="noConversion"/>
  <printOptions horizontalCentered="1"/>
  <pageMargins left="0.70866141732283472" right="0.70866141732283472" top="1.1417322834645669" bottom="0" header="0.31496062992125984" footer="0"/>
  <pageSetup paperSize="9" orientation="landscape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노동2603실적(총괄)</vt:lpstr>
      <vt:lpstr>노동2603실적(사업부별)</vt:lpstr>
      <vt:lpstr>노무비(25-05)</vt:lpstr>
      <vt:lpstr>노무비(인원,근무시간 등(25_01)</vt:lpstr>
      <vt:lpstr>'노동2603실적(사업부별)'!Print_Area</vt:lpstr>
      <vt:lpstr>'노동2603실적(총괄)'!Print_Area</vt:lpstr>
      <vt:lpstr>'노무비(25-05)'!Print_Area</vt:lpstr>
      <vt:lpstr>'노무비(인원,근무시간 등(25_01)'!Print_Area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2026-04-06T06:33:44Z</dcterms:modified>
</cp:coreProperties>
</file>